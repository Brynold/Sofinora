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09bd36b9c449de" /></Relationships>
</file>

<file path=xl/workbook.xml><?xml version="1.0" encoding="utf-8"?>
<x:workbook xmlns:x="http://schemas.openxmlformats.org/spreadsheetml/2006/main">
  <x:sheets>
    <x:sheet xmlns:r="http://schemas.openxmlformats.org/officeDocument/2006/relationships" name="Start Here" sheetId="1" r:id="Rfda78ac5cde048ae"/>
    <x:sheet xmlns:r="http://schemas.openxmlformats.org/officeDocument/2006/relationships" name="Dashboard" sheetId="2" r:id="R60efb121474c40e3"/>
    <x:sheet xmlns:r="http://schemas.openxmlformats.org/officeDocument/2006/relationships" name="Profile" sheetId="3" r:id="Rf1ebb5f3982a4b36"/>
    <x:sheet xmlns:r="http://schemas.openxmlformats.org/officeDocument/2006/relationships" name="Monthly Budget" sheetId="4" r:id="Rc6a4d1ee313149b8"/>
    <x:sheet xmlns:r="http://schemas.openxmlformats.org/officeDocument/2006/relationships" name="Cash Flow" sheetId="5" r:id="R151ecaea553b44dc"/>
    <x:sheet xmlns:r="http://schemas.openxmlformats.org/officeDocument/2006/relationships" name="Net Worth" sheetId="6" r:id="Rf8fe9c7c0dfe4319"/>
    <x:sheet xmlns:r="http://schemas.openxmlformats.org/officeDocument/2006/relationships" name="Emergency Fund" sheetId="7" r:id="R95c73353bcb54129"/>
    <x:sheet xmlns:r="http://schemas.openxmlformats.org/officeDocument/2006/relationships" name="Goals" sheetId="8" r:id="R508fcb9330934046"/>
    <x:sheet xmlns:r="http://schemas.openxmlformats.org/officeDocument/2006/relationships" name="Debt Payoff" sheetId="9" r:id="Ra7b241bc7217486e"/>
    <x:sheet xmlns:r="http://schemas.openxmlformats.org/officeDocument/2006/relationships" name="Insurance Check" sheetId="10" r:id="R157b5b7b622f47a1"/>
    <x:sheet xmlns:r="http://schemas.openxmlformats.org/officeDocument/2006/relationships" name="Retirement Plan" sheetId="11" r:id="R4084faf291af45cc"/>
    <x:sheet xmlns:r="http://schemas.openxmlformats.org/officeDocument/2006/relationships" name="Investment Allocation" sheetId="12" r:id="R88045aede9414c4a"/>
    <x:sheet xmlns:r="http://schemas.openxmlformats.org/officeDocument/2006/relationships" name="Tax Checklist" sheetId="13" r:id="R0185865d663e4906"/>
    <x:sheet xmlns:r="http://schemas.openxmlformats.org/officeDocument/2006/relationships" name="Annual Review" sheetId="14" r:id="R5a308d3689d9465b"/>
    <x:sheet xmlns:r="http://schemas.openxmlformats.org/officeDocument/2006/relationships" name="90 Day Plan" sheetId="15" r:id="R19040c70b9eb46bb"/>
    <x:sheet xmlns:r="http://schemas.openxmlformats.org/officeDocument/2006/relationships" name="Checks" sheetId="16" r:id="R88b4276975434098"/>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dd-mmm-yyyy"/>
    <x:numFmt numFmtId="201" formatCode="0.0%;[Red](0.0%);-"/>
    <x:numFmt numFmtId="202" formatCode="#,##0;[Red](#,##0);-"/>
    <x:numFmt numFmtId="203" formatCode="&quot;₹&quot;#,##0;[Red](&quot;₹&quot;#,##0);-"/>
    <x:numFmt numFmtId="204" formatCode="mmm-yyyy"/>
    <x:numFmt numFmtId="205" formatCode="0.0 &quot;months&quot;"/>
    <x:numFmt numFmtId="206" formatCode="0 &quot;years&quot;"/>
    <x:numFmt numFmtId="207" formatCode="0.0"/>
  </x:numFmts>
  <x:fonts count="17">
    <x:font>
      <x:sz val="11"/>
      <x:name val="Carlito"/>
    </x:font>
    <x:font>
      <x:sz val="10"/>
      <x:color rgb="FF101820"/>
      <x:name val="Aptos"/>
    </x:font>
    <x:font>
      <x:b/>
      <x:sz val="22"/>
      <x:color rgb="FFFFFFFF"/>
      <x:name val="Aptos Display"/>
    </x:font>
    <x:font>
      <x:i/>
      <x:sz val="10"/>
      <x:color rgb="FFC9D9E5"/>
      <x:name val="Carlito"/>
    </x:font>
    <x:font>
      <x:b/>
      <x:sz val="18"/>
      <x:color rgb="FF071C2C"/>
      <x:name val="Aptos Display"/>
    </x:font>
    <x:font>
      <x:b/>
      <x:sz val="14"/>
      <x:color rgb="FF071C2C"/>
      <x:name val="Carlito"/>
    </x:font>
    <x:font>
      <x:sz val="11"/>
      <x:color rgb="FF071C2C"/>
      <x:name val="Carlito"/>
    </x:font>
    <x:font>
      <x:b/>
      <x:sz val="11"/>
      <x:color rgb="FFFFFFFF"/>
      <x:name val="Carlito"/>
    </x:font>
    <x:font>
      <x:b/>
      <x:sz val="11"/>
      <x:color rgb="FF071C2C"/>
      <x:name val="Carlito"/>
    </x:font>
    <x:font>
      <x:b/>
      <x:sz val="11"/>
      <x:name val="Carlito"/>
    </x:font>
    <x:font>
      <x:b/>
      <x:sz val="11"/>
      <x:color rgb="FF0000FF"/>
      <x:name val="Carlito"/>
    </x:font>
    <x:font>
      <x:b/>
      <x:sz val="11"/>
      <x:color rgb="FF008000"/>
      <x:name val="Carlito"/>
    </x:font>
    <x:font>
      <x:b/>
      <x:sz val="11"/>
      <x:color rgb="FFDC2626"/>
      <x:name val="Carlito"/>
    </x:font>
    <x:font>
      <x:i/>
      <x:sz val="9"/>
      <x:color rgb="FF526477"/>
      <x:name val="Carlito"/>
    </x:font>
    <x:font>
      <x:sz val="11"/>
      <x:color rgb="FF0000FF"/>
      <x:name val="Carlito"/>
    </x:font>
    <x:font>
      <x:b/>
      <x:sz val="11"/>
      <x:color rgb="FF08745B"/>
      <x:name val="Carlito"/>
    </x:font>
    <x:font>
      <x:b/>
      <x:sz val="12"/>
      <x:color rgb="FF008000"/>
      <x:name val="Carlito"/>
    </x:font>
  </x:fonts>
  <x:fills count="10">
    <x:fill>
      <x:patternFill patternType="none"/>
    </x:fill>
    <x:fill>
      <x:patternFill patternType="gray125"/>
    </x:fill>
    <x:fill>
      <x:patternFill patternType="solid">
        <x:fgColor rgb="FF071C2C"/>
      </x:patternFill>
    </x:fill>
    <x:fill>
      <x:patternFill patternType="solid">
        <x:fgColor rgb="FF11324A"/>
      </x:patternFill>
    </x:fill>
    <x:fill>
      <x:patternFill patternType="solid">
        <x:fgColor rgb="FF28C7E5"/>
      </x:patternFill>
    </x:fill>
    <x:fill>
      <x:patternFill patternType="solid">
        <x:fgColor rgb="FFDDF7FC"/>
      </x:patternFill>
    </x:fill>
    <x:fill>
      <x:patternFill patternType="solid">
        <x:fgColor rgb="FFDCEAF3"/>
      </x:patternFill>
    </x:fill>
    <x:fill>
      <x:patternFill patternType="solid">
        <x:fgColor rgb="FFFFF4BF"/>
      </x:patternFill>
    </x:fill>
    <x:fill>
      <x:patternFill patternType="solid">
        <x:fgColor rgb="FFE5F8F1"/>
      </x:patternFill>
    </x:fill>
    <x:fill>
      <x:patternFill patternType="solid">
        <x:fgColor rgb="FFF4F7FA"/>
      </x:patternFill>
    </x:fill>
  </x:fills>
  <x:borders count="35">
    <x:border/>
    <x:border>
      <x:bottom style="thin">
        <x:color rgb="FFAFC4D3"/>
      </x:bottom>
    </x:border>
    <x:border>
      <x:bottom style="thin">
        <x:color rgb="FFD8E2EA"/>
      </x:bottom>
    </x:border>
    <x:border>
      <x:top style="thin">
        <x:color rgb="FFD8E2EA"/>
      </x:top>
      <x:bottom style="thin">
        <x:color rgb="FFD8E2EA"/>
      </x:bottom>
    </x:border>
    <x:border>
      <x:top style="thin">
        <x:color rgb="FFD8E2EA"/>
      </x:top>
    </x:border>
    <x:border>
      <x:left style="thin">
        <x:color rgb="FFE1C94F"/>
      </x:left>
      <x:right style="thin">
        <x:color rgb="FFE1C94F"/>
      </x:right>
      <x:top style="thin">
        <x:color rgb="FFE1C94F"/>
      </x:top>
    </x:border>
    <x:border>
      <x:left style="thin">
        <x:color rgb="FFE1C94F"/>
      </x:left>
      <x:right style="thin">
        <x:color rgb="FFE1C94F"/>
      </x:right>
    </x:border>
    <x:border>
      <x:left style="thin">
        <x:color rgb="FFE1C94F"/>
      </x:left>
      <x:right style="thin">
        <x:color rgb="FFE1C94F"/>
      </x:right>
      <x:bottom style="thin">
        <x:color rgb="FFE1C94F"/>
      </x:bottom>
    </x:border>
    <x:border>
      <x:left style="thin">
        <x:color rgb="FFE1C94F"/>
      </x:left>
      <x:top style="thin">
        <x:color rgb="FFE1C94F"/>
      </x:top>
    </x:border>
    <x:border>
      <x:top style="thin">
        <x:color rgb="FFE1C94F"/>
      </x:top>
    </x:border>
    <x:border>
      <x:right style="thin">
        <x:color rgb="FFE1C94F"/>
      </x:right>
      <x:top style="thin">
        <x:color rgb="FFE1C94F"/>
      </x:top>
    </x:border>
    <x:border>
      <x:left style="thin">
        <x:color rgb="FFE1C94F"/>
      </x:left>
    </x:border>
    <x:border>
      <x:right style="thin">
        <x:color rgb="FFE1C94F"/>
      </x:right>
    </x:border>
    <x:border>
      <x:left style="thin">
        <x:color rgb="FFE1C94F"/>
      </x:left>
      <x:bottom style="thin">
        <x:color rgb="FFE1C94F"/>
      </x:bottom>
    </x:border>
    <x:border>
      <x:bottom style="thin">
        <x:color rgb="FFE1C94F"/>
      </x:bottom>
    </x:border>
    <x:border>
      <x:right style="thin">
        <x:color rgb="FFE1C94F"/>
      </x:right>
      <x:bottom style="thin">
        <x:color rgb="FFE1C94F"/>
      </x:bottom>
    </x:border>
    <x:border>
      <x:left style="thin">
        <x:color rgb="FFE1C94F"/>
      </x:left>
      <x:right style="thin">
        <x:color rgb="FFE1C94F"/>
      </x:right>
      <x:top style="thin">
        <x:color rgb="FFE1C94F"/>
      </x:top>
      <x:bottom style="thin">
        <x:color rgb="FFE1C94F"/>
      </x:bottom>
    </x:border>
    <x:border>
      <x:left style="thin">
        <x:color rgb="FF9DD9C6"/>
      </x:left>
      <x:top style="thin">
        <x:color rgb="FF9DD9C6"/>
      </x:top>
      <x:bottom style="thin">
        <x:color rgb="FF9DD9C6"/>
      </x:bottom>
    </x:border>
    <x:border>
      <x:top style="thin">
        <x:color rgb="FF9DD9C6"/>
      </x:top>
      <x:bottom style="thin">
        <x:color rgb="FF9DD9C6"/>
      </x:bottom>
    </x:border>
    <x:border>
      <x:right style="thin">
        <x:color rgb="FF9DD9C6"/>
      </x:right>
      <x:top style="thin">
        <x:color rgb="FF9DD9C6"/>
      </x:top>
      <x:bottom style="thin">
        <x:color rgb="FF9DD9C6"/>
      </x:bottom>
    </x:border>
    <x:border>
      <x:left style="thin">
        <x:color rgb="FF9DD9C6"/>
      </x:left>
      <x:right style="thin">
        <x:color rgb="FF9DD9C6"/>
      </x:right>
      <x:top style="thin">
        <x:color rgb="FF9DD9C6"/>
      </x:top>
      <x:bottom style="thin">
        <x:color rgb="FF9DD9C6"/>
      </x:bottom>
    </x:border>
    <x:border>
      <x:top style="medium">
        <x:color rgb="FF071C2C"/>
      </x:top>
    </x:border>
    <x:border>
      <x:left style="thin">
        <x:color rgb="FF9DD9C6"/>
      </x:left>
      <x:top style="thin">
        <x:color rgb="FF9DD9C6"/>
      </x:top>
    </x:border>
    <x:border>
      <x:top style="thin">
        <x:color rgb="FF9DD9C6"/>
      </x:top>
    </x:border>
    <x:border>
      <x:right style="thin">
        <x:color rgb="FF9DD9C6"/>
      </x:right>
      <x:top style="thin">
        <x:color rgb="FF9DD9C6"/>
      </x:top>
    </x:border>
    <x:border>
      <x:left style="thin">
        <x:color rgb="FF9DD9C6"/>
      </x:left>
      <x:bottom style="thin">
        <x:color rgb="FF9DD9C6"/>
      </x:bottom>
    </x:border>
    <x:border>
      <x:bottom style="thin">
        <x:color rgb="FF9DD9C6"/>
      </x:bottom>
    </x:border>
    <x:border>
      <x:right style="thin">
        <x:color rgb="FF9DD9C6"/>
      </x:right>
      <x:bottom style="thin">
        <x:color rgb="FF9DD9C6"/>
      </x:bottom>
    </x:border>
    <x:border>
      <x:left style="thin">
        <x:color rgb="FF9DD9C6"/>
      </x:left>
      <x:top style="medium">
        <x:color rgb="FF071C2C"/>
      </x:top>
    </x:border>
    <x:border>
      <x:left style="thin">
        <x:color rgb="FF9DD9C6"/>
      </x:left>
    </x:border>
    <x:border>
      <x:left style="thin">
        <x:color rgb="FF9DD9C6"/>
      </x:left>
      <x:right style="thin">
        <x:color rgb="FF9DD9C6"/>
      </x:right>
      <x:top style="thin">
        <x:color rgb="FF9DD9C6"/>
      </x:top>
    </x:border>
    <x:border>
      <x:left style="thin">
        <x:color rgb="FF9DD9C6"/>
      </x:left>
      <x:right style="thin">
        <x:color rgb="FF9DD9C6"/>
      </x:right>
      <x:top style="thin">
        <x:color rgb="FFE1C94F"/>
      </x:top>
      <x:bottom style="thin">
        <x:color rgb="FFE1C94F"/>
      </x:bottom>
    </x:border>
    <x:border>
      <x:left style="thin">
        <x:color rgb="FF9DD9C6"/>
      </x:left>
      <x:right style="thin">
        <x:color rgb="FF9DD9C6"/>
      </x:right>
      <x:bottom style="thin">
        <x:color rgb="FF9DD9C6"/>
      </x:bottom>
    </x:border>
    <x:border>
      <x:left style="thin">
        <x:color rgb="FF9DD9C6"/>
      </x:left>
      <x:right style="thin">
        <x:color rgb="FF9DD9C6"/>
      </x:right>
    </x:border>
    <x:border>
      <x:right style="thin">
        <x:color rgb="FF9DD9C6"/>
      </x:right>
    </x:border>
  </x:borders>
  <x:cellStyleXfs count="1">
    <x:xf numFmtId="0" fontId="0" fillId="0" borderId="0"/>
  </x:cellStyleXfs>
  <x:cellXfs count="280">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0" borderId="0"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horizontal="center"/>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7" fillId="3" borderId="0" xfId="0" applyNumberFormat="1" applyFont="1" applyFill="1" applyBorder="1"/>
    <x:xf numFmtId="0" fontId="7" fillId="3" borderId="0" xfId="0" applyNumberFormat="1" applyFont="1" applyFill="1" applyBorder="1" applyAlignment="1">
      <x:alignment vertical="center"/>
    </x:xf>
    <x:xf numFmtId="0" fontId="0" fillId="6" borderId="0" xfId="0" applyNumberFormat="1" applyFont="1" applyFill="1" applyBorder="1"/>
    <x:xf numFmtId="0" fontId="8" fillId="6" borderId="0" xfId="0" applyNumberFormat="1" applyFont="1" applyFill="1" applyBorder="1"/>
    <x:xf numFmtId="0" fontId="8" fillId="6" borderId="1" xfId="0" applyNumberFormat="1" applyFont="1" applyFill="1" applyBorder="1"/>
    <x:xf numFmtId="0" fontId="8" fillId="6" borderId="1" xfId="0" applyNumberFormat="1" applyFont="1" applyFill="1" applyBorder="1" applyAlignment="1">
      <x:alignment wrapText="1"/>
    </x:xf>
    <x:xf numFmtId="0" fontId="8" fillId="6" borderId="1" xfId="0" applyNumberFormat="1" applyFont="1" applyFill="1" applyBorder="1" applyAlignment="1">
      <x:alignment vertical="center"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9" fillId="0" borderId="0" xfId="0" applyNumberFormat="1" applyFont="1" applyFill="1" applyBorder="1"/>
    <x:xf numFmtId="0" fontId="9" fillId="7" borderId="0" xfId="0" applyNumberFormat="1" applyFont="1" applyFill="1" applyBorder="1"/>
    <x:xf numFmtId="0" fontId="10" fillId="7" borderId="0" xfId="0" applyNumberFormat="1" applyFont="1" applyFill="1" applyBorder="1"/>
    <x:xf numFmtId="0" fontId="9" fillId="8" borderId="0" xfId="0" applyNumberFormat="1" applyFont="1" applyFill="1" applyBorder="1"/>
    <x:xf numFmtId="0" fontId="11" fillId="0" borderId="0" xfId="0" applyNumberFormat="1" applyFont="1" applyFill="1" applyBorder="1"/>
    <x:xf numFmtId="0" fontId="12" fillId="0" borderId="0" xfId="0" applyNumberFormat="1" applyFont="1" applyFill="1" applyBorder="1"/>
    <x:xf numFmtId="0" fontId="0" fillId="9" borderId="0" xfId="0" applyNumberFormat="1" applyFont="1" applyFill="1" applyBorder="1"/>
    <x:xf numFmtId="0" fontId="13" fillId="9" borderId="0" xfId="0" applyNumberFormat="1" applyFont="1" applyFill="1" applyBorder="1"/>
    <x:xf numFmtId="0" fontId="13" fillId="9" borderId="0" xfId="0" applyNumberFormat="1" applyFont="1" applyFill="1" applyBorder="1" applyAlignment="1">
      <x:alignment wrapText="1"/>
    </x:xf>
    <x:xf numFmtId="0" fontId="0" fillId="7" borderId="0" xfId="0" applyNumberFormat="1" applyFont="1" applyFill="1" applyBorder="1"/>
    <x:xf numFmtId="0" fontId="14" fillId="7" borderId="0" xfId="0" applyNumberFormat="1" applyFont="1" applyFill="1" applyBorder="1"/>
    <x:xf numFmtId="0" fontId="14" fillId="7" borderId="5" xfId="0" applyNumberFormat="1" applyFont="1" applyFill="1" applyBorder="1"/>
    <x:xf numFmtId="0" fontId="14" fillId="7" borderId="6" xfId="0" applyNumberFormat="1" applyFont="1" applyFill="1" applyBorder="1"/>
    <x:xf numFmtId="0" fontId="14" fillId="7" borderId="7" xfId="0" applyNumberFormat="1" applyFont="1" applyFill="1" applyBorder="1"/>
    <x:xf numFmtId="200" fontId="14" fillId="7" borderId="6" xfId="0" applyNumberFormat="1" applyFont="1" applyFill="1" applyBorder="1"/>
    <x:xf numFmtId="201" fontId="14" fillId="7" borderId="5" xfId="0" applyNumberFormat="1" applyFont="1" applyFill="1" applyBorder="1"/>
    <x:xf numFmtId="201" fontId="14" fillId="7" borderId="6" xfId="0" applyNumberFormat="1" applyFont="1" applyFill="1" applyBorder="1"/>
    <x:xf numFmtId="201" fontId="14" fillId="7" borderId="7" xfId="0" applyNumberFormat="1" applyFont="1" applyFill="1" applyBorder="1"/>
    <x:xf numFmtId="202" fontId="14" fillId="7" borderId="6" xfId="0" applyNumberFormat="1" applyFont="1" applyFill="1" applyBorder="1"/>
    <x:xf numFmtId="0" fontId="14" fillId="7" borderId="8" xfId="0" applyNumberFormat="1" applyFont="1" applyFill="1" applyBorder="1"/>
    <x:xf numFmtId="0" fontId="14" fillId="7" borderId="9" xfId="0" applyNumberFormat="1" applyFont="1" applyFill="1" applyBorder="1"/>
    <x:xf numFmtId="0" fontId="14" fillId="7" borderId="10" xfId="0" applyNumberFormat="1" applyFont="1" applyFill="1" applyBorder="1"/>
    <x:xf numFmtId="0" fontId="14" fillId="7" borderId="11" xfId="0" applyNumberFormat="1" applyFont="1" applyFill="1" applyBorder="1"/>
    <x:xf numFmtId="0" fontId="14" fillId="7" borderId="12" xfId="0" applyNumberFormat="1" applyFont="1" applyFill="1" applyBorder="1"/>
    <x:xf numFmtId="0" fontId="14" fillId="7" borderId="13" xfId="0" applyNumberFormat="1" applyFont="1" applyFill="1" applyBorder="1"/>
    <x:xf numFmtId="0" fontId="14" fillId="7" borderId="14" xfId="0" applyNumberFormat="1" applyFont="1" applyFill="1" applyBorder="1"/>
    <x:xf numFmtId="0" fontId="14" fillId="7" borderId="15" xfId="0" applyNumberFormat="1" applyFont="1" applyFill="1" applyBorder="1"/>
    <x:xf numFmtId="0" fontId="14" fillId="7" borderId="16" xfId="0" applyNumberFormat="1" applyFont="1" applyFill="1" applyBorder="1"/>
    <x:xf numFmtId="0" fontId="0" fillId="8" borderId="0" xfId="0" applyNumberFormat="1" applyFont="1" applyFill="1" applyBorder="1"/>
    <x:xf numFmtId="0" fontId="15" fillId="8" borderId="0" xfId="0" applyNumberFormat="1" applyFont="1" applyFill="1" applyBorder="1"/>
    <x:xf numFmtId="0" fontId="15" fillId="8" borderId="17" xfId="0" applyNumberFormat="1" applyFont="1" applyFill="1" applyBorder="1"/>
    <x:xf numFmtId="0" fontId="15" fillId="8" borderId="18" xfId="0" applyNumberFormat="1" applyFont="1" applyFill="1" applyBorder="1"/>
    <x:xf numFmtId="0" fontId="15" fillId="8" borderId="19" xfId="0" applyNumberFormat="1" applyFont="1" applyFill="1" applyBorder="1"/>
    <x:xf numFmtId="203" fontId="15" fillId="8" borderId="17" xfId="0" applyNumberFormat="1" applyFont="1" applyFill="1" applyBorder="1"/>
    <x:xf numFmtId="203" fontId="15" fillId="8" borderId="18" xfId="0" applyNumberFormat="1" applyFont="1" applyFill="1" applyBorder="1"/>
    <x:xf numFmtId="203" fontId="15" fillId="8" borderId="19" xfId="0" applyNumberFormat="1" applyFont="1" applyFill="1" applyBorder="1"/>
    <x:xf numFmtId="0" fontId="15" fillId="8" borderId="20" xfId="0" applyNumberFormat="1" applyFont="1" applyFill="1" applyBorder="1"/>
    <x:xf numFmtId="201" fontId="15" fillId="8" borderId="20" xfId="0" applyNumberFormat="1" applyFont="1" applyFill="1" applyBorder="1"/>
    <x:xf numFmtId="203" fontId="14" fillId="7" borderId="8" xfId="0" applyNumberFormat="1" applyFont="1" applyFill="1" applyBorder="1"/>
    <x:xf numFmtId="203" fontId="14" fillId="7" borderId="11" xfId="0" applyNumberFormat="1" applyFont="1" applyFill="1" applyBorder="1"/>
    <x:xf numFmtId="203" fontId="14" fillId="7" borderId="13" xfId="0" applyNumberFormat="1" applyFont="1" applyFill="1" applyBorder="1"/>
    <x:xf numFmtId="203" fontId="14" fillId="7" borderId="10" xfId="0" applyNumberFormat="1" applyFont="1" applyFill="1" applyBorder="1"/>
    <x:xf numFmtId="203" fontId="14" fillId="7" borderId="12" xfId="0" applyNumberFormat="1" applyFont="1" applyFill="1" applyBorder="1"/>
    <x:xf numFmtId="203" fontId="14" fillId="7" borderId="15" xfId="0" applyNumberFormat="1" applyFont="1" applyFill="1" applyBorder="1"/>
    <x:xf numFmtId="203" fontId="0" fillId="0" borderId="0" xfId="0" applyNumberFormat="1" applyFont="1" applyFill="1" applyBorder="1"/>
    <x:xf numFmtId="0" fontId="0" fillId="2" borderId="0" xfId="0" applyNumberFormat="1" applyFont="1" applyFill="1" applyBorder="1"/>
    <x:xf numFmtId="0" fontId="7" fillId="2" borderId="0" xfId="0" applyNumberFormat="1" applyFont="1" applyFill="1" applyBorder="1"/>
    <x:xf numFmtId="0" fontId="7" fillId="2" borderId="21" xfId="0" applyNumberFormat="1" applyFont="1" applyFill="1" applyBorder="1"/>
    <x:xf numFmtId="203" fontId="7" fillId="2" borderId="21" xfId="0" applyNumberFormat="1" applyFont="1" applyFill="1" applyBorder="1"/>
    <x:xf numFmtId="203" fontId="14" fillId="7" borderId="9" xfId="0" applyNumberFormat="1" applyFont="1" applyFill="1" applyBorder="1"/>
    <x:xf numFmtId="203" fontId="14" fillId="7" borderId="0" xfId="0" applyNumberFormat="1" applyFont="1" applyFill="1" applyBorder="1"/>
    <x:xf numFmtId="203" fontId="14" fillId="7" borderId="14" xfId="0" applyNumberFormat="1" applyFont="1" applyFill="1" applyBorder="1"/>
    <x:xf numFmtId="0" fontId="15" fillId="8" borderId="22" xfId="0" applyNumberFormat="1" applyFont="1" applyFill="1" applyBorder="1"/>
    <x:xf numFmtId="0" fontId="15" fillId="8" borderId="23" xfId="0" applyNumberFormat="1" applyFont="1" applyFill="1" applyBorder="1"/>
    <x:xf numFmtId="0" fontId="15" fillId="8" borderId="24" xfId="0" applyNumberFormat="1" applyFont="1" applyFill="1" applyBorder="1"/>
    <x:xf numFmtId="0" fontId="15" fillId="8" borderId="25" xfId="0" applyNumberFormat="1" applyFont="1" applyFill="1" applyBorder="1"/>
    <x:xf numFmtId="0" fontId="15" fillId="8" borderId="26" xfId="0" applyNumberFormat="1" applyFont="1" applyFill="1" applyBorder="1"/>
    <x:xf numFmtId="0" fontId="15" fillId="8" borderId="27" xfId="0" applyNumberFormat="1" applyFont="1" applyFill="1" applyBorder="1"/>
    <x:xf numFmtId="203" fontId="15" fillId="8" borderId="22" xfId="0" applyNumberFormat="1" applyFont="1" applyFill="1" applyBorder="1"/>
    <x:xf numFmtId="203" fontId="15" fillId="8" borderId="23" xfId="0" applyNumberFormat="1" applyFont="1" applyFill="1" applyBorder="1"/>
    <x:xf numFmtId="203" fontId="15" fillId="8" borderId="24" xfId="0" applyNumberFormat="1" applyFont="1" applyFill="1" applyBorder="1"/>
    <x:xf numFmtId="203" fontId="15" fillId="8" borderId="25" xfId="0" applyNumberFormat="1" applyFont="1" applyFill="1" applyBorder="1"/>
    <x:xf numFmtId="203" fontId="15" fillId="8" borderId="26" xfId="0" applyNumberFormat="1" applyFont="1" applyFill="1" applyBorder="1"/>
    <x:xf numFmtId="203" fontId="15" fillId="8" borderId="27" xfId="0" applyNumberFormat="1" applyFont="1" applyFill="1" applyBorder="1"/>
    <x:xf numFmtId="203" fontId="15" fillId="2" borderId="22" xfId="0" applyNumberFormat="1" applyFont="1" applyFill="1" applyBorder="1"/>
    <x:xf numFmtId="203" fontId="15" fillId="2" borderId="23" xfId="0" applyNumberFormat="1" applyFont="1" applyFill="1" applyBorder="1"/>
    <x:xf numFmtId="203" fontId="15" fillId="2" borderId="24" xfId="0" applyNumberFormat="1" applyFont="1" applyFill="1" applyBorder="1"/>
    <x:xf numFmtId="203" fontId="15" fillId="2" borderId="25" xfId="0" applyNumberFormat="1" applyFont="1" applyFill="1" applyBorder="1"/>
    <x:xf numFmtId="203" fontId="15" fillId="2" borderId="26" xfId="0" applyNumberFormat="1" applyFont="1" applyFill="1" applyBorder="1"/>
    <x:xf numFmtId="203" fontId="15" fillId="2" borderId="27" xfId="0" applyNumberFormat="1" applyFont="1" applyFill="1" applyBorder="1"/>
    <x:xf numFmtId="203" fontId="7" fillId="2" borderId="22" xfId="0" applyNumberFormat="1" applyFont="1" applyFill="1" applyBorder="1"/>
    <x:xf numFmtId="203" fontId="7" fillId="2" borderId="23" xfId="0" applyNumberFormat="1" applyFont="1" applyFill="1" applyBorder="1"/>
    <x:xf numFmtId="203" fontId="7" fillId="2" borderId="24" xfId="0" applyNumberFormat="1" applyFont="1" applyFill="1" applyBorder="1"/>
    <x:xf numFmtId="203" fontId="7" fillId="2" borderId="25" xfId="0" applyNumberFormat="1" applyFont="1" applyFill="1" applyBorder="1"/>
    <x:xf numFmtId="203" fontId="7" fillId="2" borderId="26" xfId="0" applyNumberFormat="1" applyFont="1" applyFill="1" applyBorder="1"/>
    <x:xf numFmtId="203" fontId="7" fillId="2" borderId="27" xfId="0" applyNumberFormat="1" applyFont="1" applyFill="1" applyBorder="1"/>
    <x:xf numFmtId="203" fontId="7" fillId="2" borderId="28" xfId="0" applyNumberFormat="1" applyFont="1" applyFill="1" applyBorder="1"/>
    <x:xf numFmtId="203" fontId="7" fillId="2" borderId="29" xfId="0" applyNumberFormat="1" applyFont="1" applyFill="1" applyBorder="1"/>
    <x:xf numFmtId="203" fontId="7" fillId="2" borderId="0" xfId="0" applyNumberFormat="1" applyFont="1" applyFill="1" applyBorder="1"/>
    <x:xf numFmtId="200" fontId="14" fillId="7" borderId="16" xfId="0" applyNumberFormat="1" applyFont="1" applyFill="1" applyBorder="1"/>
    <x:xf numFmtId="204" fontId="14" fillId="7" borderId="8" xfId="0" applyNumberFormat="1" applyFont="1" applyFill="1" applyBorder="1"/>
    <x:xf numFmtId="204" fontId="14" fillId="7" borderId="11" xfId="0" applyNumberFormat="1" applyFont="1" applyFill="1" applyBorder="1"/>
    <x:xf numFmtId="204" fontId="14" fillId="7" borderId="13" xfId="0" applyNumberFormat="1" applyFont="1" applyFill="1" applyBorder="1"/>
    <x:xf numFmtId="203" fontId="14" fillId="7" borderId="5" xfId="0" applyNumberFormat="1" applyFont="1" applyFill="1" applyBorder="1"/>
    <x:xf numFmtId="203" fontId="14" fillId="7" borderId="6" xfId="0" applyNumberFormat="1" applyFont="1" applyFill="1" applyBorder="1"/>
    <x:xf numFmtId="203" fontId="14" fillId="7" borderId="7" xfId="0" applyNumberFormat="1" applyFont="1" applyFill="1" applyBorder="1"/>
    <x:xf numFmtId="203" fontId="14" fillId="7" borderId="16" xfId="0" applyNumberFormat="1" applyFont="1" applyFill="1" applyBorder="1"/>
    <x:xf numFmtId="203" fontId="14" fillId="8" borderId="16" xfId="0" applyNumberFormat="1" applyFont="1" applyFill="1" applyBorder="1"/>
    <x:xf numFmtId="203" fontId="15" fillId="8" borderId="16" xfId="0" applyNumberFormat="1" applyFont="1" applyFill="1" applyBorder="1"/>
    <x:xf numFmtId="0" fontId="15" fillId="8" borderId="30" xfId="0" applyNumberFormat="1" applyFont="1" applyFill="1" applyBorder="1"/>
    <x:xf numFmtId="203" fontId="15" fillId="8" borderId="31" xfId="0" applyNumberFormat="1" applyFont="1" applyFill="1" applyBorder="1"/>
    <x:xf numFmtId="0" fontId="15" fillId="8" borderId="32" xfId="0" applyNumberFormat="1" applyFont="1" applyFill="1" applyBorder="1"/>
    <x:xf numFmtId="203" fontId="15" fillId="8" borderId="30" xfId="0" applyNumberFormat="1" applyFont="1" applyFill="1" applyBorder="1"/>
    <x:xf numFmtId="203" fontId="15" fillId="8" borderId="32" xfId="0" applyNumberFormat="1" applyFont="1" applyFill="1" applyBorder="1"/>
    <x:xf numFmtId="203" fontId="15" fillId="8" borderId="20" xfId="0" applyNumberFormat="1" applyFont="1" applyFill="1" applyBorder="1"/>
    <x:xf numFmtId="205" fontId="15" fillId="8" borderId="20"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201" fontId="14" fillId="7" borderId="9" xfId="0" applyNumberFormat="1" applyFont="1" applyFill="1" applyBorder="1"/>
    <x:xf numFmtId="201" fontId="14" fillId="7" borderId="0" xfId="0" applyNumberFormat="1" applyFont="1" applyFill="1" applyBorder="1"/>
    <x:xf numFmtId="201" fontId="14" fillId="7" borderId="14" xfId="0" applyNumberFormat="1" applyFont="1" applyFill="1" applyBorder="1"/>
    <x:xf numFmtId="201" fontId="14" fillId="7" borderId="10" xfId="0" applyNumberFormat="1" applyFont="1" applyFill="1" applyBorder="1"/>
    <x:xf numFmtId="201" fontId="14" fillId="7" borderId="12" xfId="0" applyNumberFormat="1" applyFont="1" applyFill="1" applyBorder="1"/>
    <x:xf numFmtId="201" fontId="14" fillId="7" borderId="15" xfId="0" applyNumberFormat="1" applyFont="1" applyFill="1" applyBorder="1"/>
    <x:xf numFmtId="201" fontId="0" fillId="0" borderId="0" xfId="0" applyNumberFormat="1" applyFont="1" applyFill="1" applyBorder="1"/>
    <x:xf numFmtId="203" fontId="0" fillId="8" borderId="0" xfId="0" applyNumberFormat="1" applyFont="1" applyFill="1" applyBorder="1"/>
    <x:xf numFmtId="203" fontId="15" fillId="8" borderId="0" xfId="0" applyNumberFormat="1" applyFont="1" applyFill="1" applyBorder="1"/>
    <x:xf numFmtId="203" fontId="15" fillId="8" borderId="33" xfId="0" applyNumberFormat="1" applyFont="1" applyFill="1" applyBorder="1"/>
    <x:xf numFmtId="201" fontId="0" fillId="8" borderId="0" xfId="0" applyNumberFormat="1" applyFont="1" applyFill="1" applyBorder="1"/>
    <x:xf numFmtId="201" fontId="15" fillId="8" borderId="0" xfId="0" applyNumberFormat="1" applyFont="1" applyFill="1" applyBorder="1"/>
    <x:xf numFmtId="201" fontId="15" fillId="8" borderId="24" xfId="0" applyNumberFormat="1" applyFont="1" applyFill="1" applyBorder="1"/>
    <x:xf numFmtId="203" fontId="15" fillId="8" borderId="29" xfId="0" applyNumberFormat="1" applyFont="1" applyFill="1" applyBorder="1"/>
    <x:xf numFmtId="201" fontId="15" fillId="8" borderId="34" xfId="0" applyNumberFormat="1" applyFont="1" applyFill="1" applyBorder="1"/>
    <x:xf numFmtId="201" fontId="15" fillId="8" borderId="27" xfId="0" applyNumberFormat="1" applyFont="1" applyFill="1" applyBorder="1"/>
    <x:xf numFmtId="201" fontId="14" fillId="7" borderId="8" xfId="0" applyNumberFormat="1" applyFont="1" applyFill="1" applyBorder="1"/>
    <x:xf numFmtId="201" fontId="14" fillId="7" borderId="11" xfId="0" applyNumberFormat="1" applyFont="1" applyFill="1" applyBorder="1"/>
    <x:xf numFmtId="201" fontId="14" fillId="7" borderId="13" xfId="0" applyNumberFormat="1" applyFont="1" applyFill="1" applyBorder="1"/>
    <x:xf numFmtId="0" fontId="15" fillId="8" borderId="29" xfId="0" applyNumberFormat="1" applyFont="1" applyFill="1" applyBorder="1"/>
    <x:xf numFmtId="0" fontId="15" fillId="8" borderId="34" xfId="0" applyNumberFormat="1" applyFont="1" applyFill="1" applyBorder="1"/>
    <x:xf numFmtId="0" fontId="0" fillId="0" borderId="0" xfId="0" applyNumberFormat="1" applyFont="1" applyFill="1" applyBorder="1" applyAlignment="1">
      <x:alignment wrapText="1"/>
    </x:xf>
    <x:xf numFmtId="200" fontId="14" fillId="7" borderId="9" xfId="0" applyNumberFormat="1" applyFont="1" applyFill="1" applyBorder="1"/>
    <x:xf numFmtId="200" fontId="14" fillId="7" borderId="0" xfId="0" applyNumberFormat="1" applyFont="1" applyFill="1" applyBorder="1"/>
    <x:xf numFmtId="200" fontId="14" fillId="7" borderId="14" xfId="0" applyNumberFormat="1" applyFont="1" applyFill="1" applyBorder="1"/>
    <x:xf numFmtId="202" fontId="14" fillId="7" borderId="5" xfId="0" applyNumberFormat="1" applyFont="1" applyFill="1" applyBorder="1"/>
    <x:xf numFmtId="0" fontId="15" fillId="8" borderId="33" xfId="0" applyNumberFormat="1" applyFont="1" applyFill="1" applyBorder="1"/>
    <x:xf numFmtId="206" fontId="15" fillId="8" borderId="30" xfId="0" applyNumberFormat="1" applyFont="1" applyFill="1" applyBorder="1"/>
    <x:xf numFmtId="206" fontId="15" fillId="8" borderId="33" xfId="0" applyNumberFormat="1" applyFont="1" applyFill="1" applyBorder="1"/>
    <x:xf numFmtId="201" fontId="15" fillId="8" borderId="30" xfId="0" applyNumberFormat="1" applyFont="1" applyFill="1" applyBorder="1"/>
    <x:xf numFmtId="201" fontId="15" fillId="8" borderId="33" xfId="0" applyNumberFormat="1" applyFont="1" applyFill="1" applyBorder="1"/>
    <x:xf numFmtId="201" fontId="15" fillId="8" borderId="32" xfId="0" applyNumberFormat="1" applyFont="1" applyFill="1" applyBorder="1"/>
    <x:xf numFmtId="201" fontId="7" fillId="2" borderId="21" xfId="0" applyNumberFormat="1" applyFont="1" applyFill="1" applyBorder="1"/>
    <x:xf numFmtId="207" fontId="15" fillId="8" borderId="33" xfId="0" applyNumberFormat="1" applyFont="1" applyFill="1" applyBorder="1"/>
    <x:xf numFmtId="200" fontId="14" fillId="7" borderId="10" xfId="0" applyNumberFormat="1" applyFont="1" applyFill="1" applyBorder="1"/>
    <x:xf numFmtId="200" fontId="14" fillId="7" borderId="12" xfId="0" applyNumberFormat="1" applyFont="1" applyFill="1" applyBorder="1"/>
    <x:xf numFmtId="200" fontId="14" fillId="7" borderId="15" xfId="0" applyNumberFormat="1" applyFont="1" applyFill="1" applyBorder="1"/>
    <x:xf numFmtId="0" fontId="16" fillId="8" borderId="30" xfId="0" applyNumberFormat="1" applyFont="1" applyFill="1" applyBorder="1"/>
    <x:xf numFmtId="0" fontId="16" fillId="8" borderId="33" xfId="0" applyNumberFormat="1" applyFont="1" applyFill="1" applyBorder="1"/>
    <x:xf numFmtId="0" fontId="16" fillId="8" borderId="32" xfId="0" applyNumberFormat="1" applyFont="1" applyFill="1" applyBorder="1"/>
    <x:xf numFmtId="203" fontId="16" fillId="8" borderId="30" xfId="0" applyNumberFormat="1" applyFont="1" applyFill="1" applyBorder="1"/>
    <x:xf numFmtId="203" fontId="16" fillId="8" borderId="33" xfId="0" applyNumberFormat="1" applyFont="1" applyFill="1" applyBorder="1"/>
    <x:xf numFmtId="203" fontId="16" fillId="8" borderId="32" xfId="0" applyNumberFormat="1" applyFont="1" applyFill="1" applyBorder="1"/>
    <x:xf numFmtId="201" fontId="16" fillId="8" borderId="33" xfId="0" applyNumberFormat="1" applyFont="1" applyFill="1" applyBorder="1"/>
    <x:xf numFmtId="205" fontId="16" fillId="8" borderId="33" xfId="0" applyNumberFormat="1" applyFont="1" applyFill="1" applyBorder="1"/>
    <x:xf numFmtId="201" fontId="16" fillId="8" borderId="32" xfId="0" applyNumberFormat="1" applyFont="1" applyFill="1" applyBorder="1"/>
    <x:xf numFmtId="0" fontId="3" fillId="3"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5" fillId="4" borderId="0" xfId="0" applyNumberFormat="1" applyFont="1" applyFill="1" applyBorder="1" applyAlignment="1">
      <x:alignment horizontal="center" vertical="center"/>
    </x:xf>
    <x:xf numFmtId="0" fontId="6" fillId="5" borderId="0" xfId="0" applyNumberFormat="1" applyFont="1" applyFill="1" applyBorder="1" applyAlignment="1">
      <x:alignment vertical="center" wrapText="1"/>
    </x:xf>
    <x:xf numFmtId="0" fontId="0" fillId="0" borderId="2" xfId="0" applyNumberFormat="1" applyFont="1" applyFill="1" applyBorder="1" applyAlignment="1">
      <x:alignment vertical="center"/>
    </x:xf>
    <x:xf numFmtId="0" fontId="0" fillId="0" borderId="3" xfId="0" applyNumberFormat="1" applyFont="1" applyFill="1" applyBorder="1" applyAlignment="1">
      <x:alignment vertical="center"/>
    </x:xf>
    <x:xf numFmtId="0" fontId="10" fillId="7" borderId="0" xfId="0" applyNumberFormat="1" applyFont="1" applyFill="1" applyBorder="1" applyAlignment="1">
      <x:alignment vertical="center"/>
    </x:xf>
    <x:xf numFmtId="0" fontId="0" fillId="0" borderId="4" xfId="0" applyNumberFormat="1" applyFont="1" applyFill="1" applyBorder="1" applyAlignment="1">
      <x:alignment vertical="center"/>
    </x:xf>
    <x:xf numFmtId="0" fontId="9" fillId="8" borderId="0" xfId="0" applyNumberFormat="1" applyFont="1" applyFill="1" applyBorder="1" applyAlignment="1">
      <x:alignment vertical="center"/>
    </x:xf>
    <x:xf numFmtId="0" fontId="11" fillId="0" borderId="0" xfId="0" applyNumberFormat="1" applyFont="1" applyFill="1" applyBorder="1" applyAlignment="1">
      <x:alignment vertical="center"/>
    </x:xf>
    <x:xf numFmtId="0" fontId="12" fillId="0" borderId="0" xfId="0" applyNumberFormat="1" applyFont="1" applyFill="1" applyBorder="1" applyAlignment="1">
      <x:alignment vertical="center"/>
    </x:xf>
    <x:xf numFmtId="0" fontId="13" fillId="9" borderId="0" xfId="0" applyNumberFormat="1" applyFont="1" applyFill="1" applyBorder="1" applyAlignment="1">
      <x:alignment vertical="center" wrapText="1"/>
    </x:xf>
    <x:xf numFmtId="203" fontId="16" fillId="8" borderId="30" xfId="0" applyNumberFormat="1" applyFont="1" applyFill="1" applyBorder="1" applyAlignment="1">
      <x:alignment vertical="center"/>
    </x:xf>
    <x:xf numFmtId="203" fontId="16" fillId="8" borderId="33" xfId="0" applyNumberFormat="1" applyFont="1" applyFill="1" applyBorder="1" applyAlignment="1">
      <x:alignment vertical="center"/>
    </x:xf>
    <x:xf numFmtId="201" fontId="16" fillId="8" borderId="33" xfId="0" applyNumberFormat="1" applyFont="1" applyFill="1" applyBorder="1" applyAlignment="1">
      <x:alignment vertical="center"/>
    </x:xf>
    <x:xf numFmtId="205" fontId="16" fillId="8" borderId="33" xfId="0" applyNumberFormat="1" applyFont="1" applyFill="1" applyBorder="1" applyAlignment="1">
      <x:alignment vertical="center"/>
    </x:xf>
    <x:xf numFmtId="203" fontId="16" fillId="8" borderId="32" xfId="0" applyNumberFormat="1" applyFont="1" applyFill="1" applyBorder="1" applyAlignment="1">
      <x:alignment vertical="center"/>
    </x:xf>
    <x:xf numFmtId="201" fontId="16" fillId="8" borderId="32" xfId="0" applyNumberFormat="1" applyFont="1" applyFill="1" applyBorder="1" applyAlignment="1">
      <x:alignment vertical="center"/>
    </x:xf>
    <x:xf numFmtId="203"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0" fontId="14" fillId="7" borderId="5" xfId="0" applyNumberFormat="1" applyFont="1" applyFill="1" applyBorder="1" applyAlignment="1">
      <x:alignment vertical="center"/>
    </x:xf>
    <x:xf numFmtId="201" fontId="14" fillId="7" borderId="5" xfId="0" applyNumberFormat="1" applyFont="1" applyFill="1" applyBorder="1" applyAlignment="1">
      <x:alignment vertical="center"/>
    </x:xf>
    <x:xf numFmtId="200" fontId="14" fillId="7" borderId="6" xfId="0" applyNumberFormat="1" applyFont="1" applyFill="1" applyBorder="1" applyAlignment="1">
      <x:alignment vertical="center"/>
    </x:xf>
    <x:xf numFmtId="201" fontId="14" fillId="7" borderId="6" xfId="0" applyNumberFormat="1" applyFont="1" applyFill="1" applyBorder="1" applyAlignment="1">
      <x:alignment vertical="center"/>
    </x:xf>
    <x:xf numFmtId="0" fontId="14" fillId="7" borderId="6" xfId="0" applyNumberFormat="1" applyFont="1" applyFill="1" applyBorder="1" applyAlignment="1">
      <x:alignment vertical="center"/>
    </x:xf>
    <x:xf numFmtId="202" fontId="14" fillId="7" borderId="6" xfId="0" applyNumberFormat="1" applyFont="1" applyFill="1" applyBorder="1" applyAlignment="1">
      <x:alignment vertical="center"/>
    </x:xf>
    <x:xf numFmtId="0" fontId="14" fillId="7" borderId="7" xfId="0" applyNumberFormat="1" applyFont="1" applyFill="1" applyBorder="1" applyAlignment="1">
      <x:alignment vertical="center"/>
    </x:xf>
    <x:xf numFmtId="201" fontId="14" fillId="7" borderId="7" xfId="0" applyNumberFormat="1" applyFont="1" applyFill="1" applyBorder="1" applyAlignment="1">
      <x:alignment vertical="center"/>
    </x:xf>
    <x:xf numFmtId="0" fontId="14" fillId="7" borderId="8" xfId="0" applyNumberFormat="1" applyFont="1" applyFill="1" applyBorder="1" applyAlignment="1">
      <x:alignment vertical="center"/>
    </x:xf>
    <x:xf numFmtId="0" fontId="14" fillId="7" borderId="9" xfId="0" applyNumberFormat="1" applyFont="1" applyFill="1" applyBorder="1" applyAlignment="1">
      <x:alignment vertical="center"/>
    </x:xf>
    <x:xf numFmtId="0" fontId="14" fillId="7" borderId="10" xfId="0" applyNumberFormat="1" applyFont="1" applyFill="1" applyBorder="1" applyAlignment="1">
      <x:alignment vertical="center"/>
    </x:xf>
    <x:xf numFmtId="0" fontId="14" fillId="7" borderId="11" xfId="0" applyNumberFormat="1" applyFont="1" applyFill="1" applyBorder="1" applyAlignment="1">
      <x:alignment vertical="center"/>
    </x:xf>
    <x:xf numFmtId="0" fontId="14" fillId="7" borderId="0" xfId="0" applyNumberFormat="1" applyFont="1" applyFill="1" applyBorder="1" applyAlignment="1">
      <x:alignment vertical="center"/>
    </x:xf>
    <x:xf numFmtId="0" fontId="14" fillId="7" borderId="12" xfId="0" applyNumberFormat="1" applyFont="1" applyFill="1" applyBorder="1" applyAlignment="1">
      <x:alignment vertical="center"/>
    </x:xf>
    <x:xf numFmtId="0" fontId="14" fillId="7" borderId="13" xfId="0" applyNumberFormat="1" applyFont="1" applyFill="1" applyBorder="1" applyAlignment="1">
      <x:alignment vertical="center"/>
    </x:xf>
    <x:xf numFmtId="0" fontId="14" fillId="7" borderId="14" xfId="0" applyNumberFormat="1" applyFont="1" applyFill="1" applyBorder="1" applyAlignment="1">
      <x:alignment vertical="center"/>
    </x:xf>
    <x:xf numFmtId="0" fontId="14" fillId="7" borderId="15" xfId="0" applyNumberFormat="1" applyFont="1" applyFill="1" applyBorder="1" applyAlignment="1">
      <x:alignment vertical="center"/>
    </x:xf>
    <x:xf numFmtId="0" fontId="14" fillId="7" borderId="16" xfId="0" applyNumberFormat="1" applyFont="1" applyFill="1" applyBorder="1" applyAlignment="1">
      <x:alignment vertical="center"/>
    </x:xf>
    <x:xf numFmtId="203" fontId="15" fillId="8" borderId="17" xfId="0" applyNumberFormat="1" applyFont="1" applyFill="1" applyBorder="1" applyAlignment="1">
      <x:alignment vertical="center"/>
    </x:xf>
    <x:xf numFmtId="203" fontId="15" fillId="8" borderId="18" xfId="0" applyNumberFormat="1" applyFont="1" applyFill="1" applyBorder="1" applyAlignment="1">
      <x:alignment vertical="center"/>
    </x:xf>
    <x:xf numFmtId="203" fontId="15" fillId="8" borderId="19" xfId="0" applyNumberFormat="1" applyFont="1" applyFill="1" applyBorder="1" applyAlignment="1">
      <x:alignment vertical="center"/>
    </x:xf>
    <x:xf numFmtId="201" fontId="15" fillId="8" borderId="20" xfId="0" applyNumberFormat="1" applyFont="1" applyFill="1" applyBorder="1" applyAlignment="1">
      <x:alignment vertical="center"/>
    </x:xf>
    <x:xf numFmtId="203" fontId="14" fillId="7" borderId="8" xfId="0" applyNumberFormat="1" applyFont="1" applyFill="1" applyBorder="1" applyAlignment="1">
      <x:alignment vertical="center"/>
    </x:xf>
    <x:xf numFmtId="203" fontId="14" fillId="7" borderId="11" xfId="0" applyNumberFormat="1" applyFont="1" applyFill="1" applyBorder="1" applyAlignment="1">
      <x:alignment vertical="center"/>
    </x:xf>
    <x:xf numFmtId="203" fontId="14" fillId="7" borderId="13" xfId="0" applyNumberFormat="1" applyFont="1" applyFill="1" applyBorder="1" applyAlignment="1">
      <x:alignment vertical="center"/>
    </x:xf>
    <x:xf numFmtId="203" fontId="14" fillId="7" borderId="10" xfId="0" applyNumberFormat="1" applyFont="1" applyFill="1" applyBorder="1" applyAlignment="1">
      <x:alignment vertical="center"/>
    </x:xf>
    <x:xf numFmtId="203" fontId="14" fillId="7" borderId="12" xfId="0" applyNumberFormat="1" applyFont="1" applyFill="1" applyBorder="1" applyAlignment="1">
      <x:alignment vertical="center"/>
    </x:xf>
    <x:xf numFmtId="203" fontId="14" fillId="7" borderId="15" xfId="0" applyNumberFormat="1" applyFont="1" applyFill="1" applyBorder="1" applyAlignment="1">
      <x:alignment vertical="center"/>
    </x:xf>
    <x:xf numFmtId="0" fontId="7" fillId="2" borderId="21" xfId="0" applyNumberFormat="1" applyFont="1" applyFill="1" applyBorder="1" applyAlignment="1">
      <x:alignment vertical="center"/>
    </x:xf>
    <x:xf numFmtId="203" fontId="7" fillId="2" borderId="21" xfId="0" applyNumberFormat="1" applyFont="1" applyFill="1" applyBorder="1" applyAlignment="1">
      <x:alignment vertical="center"/>
    </x:xf>
    <x:xf numFmtId="203" fontId="14" fillId="7" borderId="9" xfId="0" applyNumberFormat="1" applyFont="1" applyFill="1" applyBorder="1" applyAlignment="1">
      <x:alignment vertical="center"/>
    </x:xf>
    <x:xf numFmtId="203" fontId="14" fillId="7" borderId="0" xfId="0" applyNumberFormat="1" applyFont="1" applyFill="1" applyBorder="1" applyAlignment="1">
      <x:alignment vertical="center"/>
    </x:xf>
    <x:xf numFmtId="203" fontId="14" fillId="7" borderId="14" xfId="0" applyNumberFormat="1" applyFont="1" applyFill="1" applyBorder="1" applyAlignment="1">
      <x:alignment vertical="center"/>
    </x:xf>
    <x:xf numFmtId="203" fontId="7" fillId="2" borderId="28" xfId="0" applyNumberFormat="1" applyFont="1" applyFill="1" applyBorder="1" applyAlignment="1">
      <x:alignment vertical="center"/>
    </x:xf>
    <x:xf numFmtId="0" fontId="7" fillId="2" borderId="0" xfId="0" applyNumberFormat="1" applyFont="1" applyFill="1" applyBorder="1" applyAlignment="1">
      <x:alignment vertical="center"/>
    </x:xf>
    <x:xf numFmtId="203" fontId="7" fillId="2" borderId="29" xfId="0" applyNumberFormat="1" applyFont="1" applyFill="1" applyBorder="1" applyAlignment="1">
      <x:alignment vertical="center"/>
    </x:xf>
    <x:xf numFmtId="203" fontId="7" fillId="2" borderId="0" xfId="0" applyNumberFormat="1" applyFont="1" applyFill="1" applyBorder="1" applyAlignment="1">
      <x:alignment vertical="center"/>
    </x:xf>
    <x:xf numFmtId="200" fontId="14" fillId="7" borderId="16" xfId="0" applyNumberFormat="1" applyFont="1" applyFill="1" applyBorder="1" applyAlignment="1">
      <x:alignment vertical="center"/>
    </x:xf>
    <x:xf numFmtId="204" fontId="14" fillId="7" borderId="8" xfId="0" applyNumberFormat="1" applyFont="1" applyFill="1" applyBorder="1" applyAlignment="1">
      <x:alignment vertical="center"/>
    </x:xf>
    <x:xf numFmtId="204" fontId="14" fillId="7" borderId="11" xfId="0" applyNumberFormat="1" applyFont="1" applyFill="1" applyBorder="1" applyAlignment="1">
      <x:alignment vertical="center"/>
    </x:xf>
    <x:xf numFmtId="204" fontId="14" fillId="7" borderId="13" xfId="0" applyNumberFormat="1" applyFont="1" applyFill="1" applyBorder="1" applyAlignment="1">
      <x:alignment vertical="center"/>
    </x:xf>
    <x:xf numFmtId="203" fontId="14" fillId="7" borderId="5" xfId="0" applyNumberFormat="1" applyFont="1" applyFill="1" applyBorder="1" applyAlignment="1">
      <x:alignment vertical="center"/>
    </x:xf>
    <x:xf numFmtId="203" fontId="14" fillId="7" borderId="6" xfId="0" applyNumberFormat="1" applyFont="1" applyFill="1" applyBorder="1" applyAlignment="1">
      <x:alignment vertical="center"/>
    </x:xf>
    <x:xf numFmtId="203" fontId="15" fillId="8" borderId="30" xfId="0" applyNumberFormat="1" applyFont="1" applyFill="1" applyBorder="1" applyAlignment="1">
      <x:alignment vertical="center"/>
    </x:xf>
    <x:xf numFmtId="203" fontId="15" fillId="8" borderId="31" xfId="0" applyNumberFormat="1" applyFont="1" applyFill="1" applyBorder="1" applyAlignment="1">
      <x:alignment vertical="center"/>
    </x:xf>
    <x:xf numFmtId="203" fontId="15" fillId="8" borderId="32" xfId="0" applyNumberFormat="1" applyFont="1" applyFill="1" applyBorder="1" applyAlignment="1">
      <x:alignment vertical="center"/>
    </x:xf>
    <x:xf numFmtId="203" fontId="15" fillId="8" borderId="20" xfId="0" applyNumberFormat="1" applyFont="1" applyFill="1" applyBorder="1" applyAlignment="1">
      <x:alignment vertical="center"/>
    </x:xf>
    <x:xf numFmtId="203" fontId="14" fillId="7" borderId="7" xfId="0" applyNumberFormat="1" applyFont="1" applyFill="1" applyBorder="1" applyAlignment="1">
      <x:alignment vertical="center"/>
    </x:xf>
    <x:xf numFmtId="205" fontId="15" fillId="8" borderId="20" xfId="0" applyNumberFormat="1" applyFont="1" applyFill="1" applyBorder="1" applyAlignment="1">
      <x:alignment vertical="center"/>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4" xfId="0" applyNumberFormat="1" applyFont="1" applyFill="1" applyBorder="1" applyAlignment="1">
      <x:alignment vertical="center" wrapText="1"/>
    </x:xf>
    <x:xf numFmtId="201" fontId="14" fillId="7" borderId="9" xfId="0" applyNumberFormat="1" applyFont="1" applyFill="1" applyBorder="1" applyAlignment="1">
      <x:alignment vertical="center"/>
    </x:xf>
    <x:xf numFmtId="203" fontId="15" fillId="8" borderId="22" xfId="0" applyNumberFormat="1" applyFont="1" applyFill="1" applyBorder="1" applyAlignment="1">
      <x:alignment vertical="center"/>
    </x:xf>
    <x:xf numFmtId="201" fontId="15" fillId="8" borderId="24" xfId="0" applyNumberFormat="1" applyFont="1" applyFill="1" applyBorder="1" applyAlignment="1">
      <x:alignment vertical="center"/>
    </x:xf>
    <x:xf numFmtId="201" fontId="14" fillId="7" borderId="0" xfId="0" applyNumberFormat="1" applyFont="1" applyFill="1" applyBorder="1" applyAlignment="1">
      <x:alignment vertical="center"/>
    </x:xf>
    <x:xf numFmtId="203" fontId="15" fillId="8" borderId="33" xfId="0" applyNumberFormat="1" applyFont="1" applyFill="1" applyBorder="1" applyAlignment="1">
      <x:alignment vertical="center"/>
    </x:xf>
    <x:xf numFmtId="203" fontId="15" fillId="8" borderId="29" xfId="0" applyNumberFormat="1" applyFont="1" applyFill="1" applyBorder="1" applyAlignment="1">
      <x:alignment vertical="center"/>
    </x:xf>
    <x:xf numFmtId="201" fontId="15" fillId="8" borderId="34" xfId="0" applyNumberFormat="1" applyFont="1" applyFill="1" applyBorder="1" applyAlignment="1">
      <x:alignment vertical="center"/>
    </x:xf>
    <x:xf numFmtId="201" fontId="14" fillId="7" borderId="14" xfId="0" applyNumberFormat="1" applyFont="1" applyFill="1" applyBorder="1" applyAlignment="1">
      <x:alignment vertical="center"/>
    </x:xf>
    <x:xf numFmtId="203" fontId="15" fillId="8" borderId="25" xfId="0" applyNumberFormat="1" applyFont="1" applyFill="1" applyBorder="1" applyAlignment="1">
      <x:alignment vertical="center"/>
    </x:xf>
    <x:xf numFmtId="201" fontId="15" fillId="8" borderId="27" xfId="0" applyNumberFormat="1" applyFont="1" applyFill="1" applyBorder="1" applyAlignment="1">
      <x:alignment vertical="center"/>
    </x:xf>
    <x:xf numFmtId="201" fontId="14" fillId="7" borderId="8" xfId="0" applyNumberFormat="1" applyFont="1" applyFill="1" applyBorder="1" applyAlignment="1">
      <x:alignment vertical="center"/>
    </x:xf>
    <x:xf numFmtId="201" fontId="14" fillId="7" borderId="10" xfId="0" applyNumberFormat="1" applyFont="1" applyFill="1" applyBorder="1" applyAlignment="1">
      <x:alignment vertical="center"/>
    </x:xf>
    <x:xf numFmtId="201" fontId="14" fillId="7" borderId="11" xfId="0" applyNumberFormat="1" applyFont="1" applyFill="1" applyBorder="1" applyAlignment="1">
      <x:alignment vertical="center"/>
    </x:xf>
    <x:xf numFmtId="201" fontId="14" fillId="7" borderId="12" xfId="0" applyNumberFormat="1" applyFont="1" applyFill="1" applyBorder="1" applyAlignment="1">
      <x:alignment vertical="center"/>
    </x:xf>
    <x:xf numFmtId="201" fontId="14" fillId="7" borderId="13" xfId="0" applyNumberFormat="1" applyFont="1" applyFill="1" applyBorder="1" applyAlignment="1">
      <x:alignment vertical="center"/>
    </x:xf>
    <x:xf numFmtId="201" fontId="14" fillId="7" borderId="15" xfId="0" applyNumberFormat="1" applyFont="1" applyFill="1" applyBorder="1" applyAlignment="1">
      <x:alignment vertical="center"/>
    </x:xf>
    <x:xf numFmtId="0" fontId="15" fillId="8" borderId="24" xfId="0" applyNumberFormat="1" applyFont="1" applyFill="1" applyBorder="1" applyAlignment="1">
      <x:alignment vertical="center"/>
    </x:xf>
    <x:xf numFmtId="0" fontId="15" fillId="8" borderId="34" xfId="0" applyNumberFormat="1" applyFont="1" applyFill="1" applyBorder="1" applyAlignment="1">
      <x:alignment vertical="center"/>
    </x:xf>
    <x:xf numFmtId="0" fontId="15" fillId="8" borderId="27" xfId="0" applyNumberFormat="1" applyFont="1" applyFill="1" applyBorder="1" applyAlignment="1">
      <x:alignment vertical="center"/>
    </x:xf>
    <x:xf numFmtId="0" fontId="0" fillId="0" borderId="0" xfId="0" applyNumberFormat="1" applyFont="1" applyFill="1" applyBorder="1" applyAlignment="1">
      <x:alignment vertical="center" wrapText="1"/>
    </x:xf>
    <x:xf numFmtId="200" fontId="14" fillId="7" borderId="9" xfId="0" applyNumberFormat="1" applyFont="1" applyFill="1" applyBorder="1" applyAlignment="1">
      <x:alignment vertical="center"/>
    </x:xf>
    <x:xf numFmtId="200" fontId="14" fillId="7" borderId="0" xfId="0" applyNumberFormat="1" applyFont="1" applyFill="1" applyBorder="1" applyAlignment="1">
      <x:alignment vertical="center"/>
    </x:xf>
    <x:xf numFmtId="200" fontId="14" fillId="7" borderId="14" xfId="0" applyNumberFormat="1" applyFont="1" applyFill="1" applyBorder="1" applyAlignment="1">
      <x:alignment vertical="center"/>
    </x:xf>
    <x:xf numFmtId="202" fontId="14" fillId="7" borderId="5" xfId="0" applyNumberFormat="1" applyFont="1" applyFill="1" applyBorder="1" applyAlignment="1">
      <x:alignment vertical="center"/>
    </x:xf>
    <x:xf numFmtId="206" fontId="15" fillId="8" borderId="30" xfId="0" applyNumberFormat="1" applyFont="1" applyFill="1" applyBorder="1" applyAlignment="1">
      <x:alignment vertical="center"/>
    </x:xf>
    <x:xf numFmtId="206" fontId="15" fillId="8" borderId="33" xfId="0" applyNumberFormat="1" applyFont="1" applyFill="1" applyBorder="1" applyAlignment="1">
      <x:alignment vertical="center"/>
    </x:xf>
    <x:xf numFmtId="0" fontId="15" fillId="8" borderId="32" xfId="0" applyNumberFormat="1" applyFont="1" applyFill="1" applyBorder="1" applyAlignment="1">
      <x:alignment vertical="center"/>
    </x:xf>
    <x:xf numFmtId="201" fontId="15" fillId="8" borderId="30" xfId="0" applyNumberFormat="1" applyFont="1" applyFill="1" applyBorder="1" applyAlignment="1">
      <x:alignment vertical="center"/>
    </x:xf>
    <x:xf numFmtId="201" fontId="15" fillId="8" borderId="33" xfId="0" applyNumberFormat="1" applyFont="1" applyFill="1" applyBorder="1" applyAlignment="1">
      <x:alignment vertical="center"/>
    </x:xf>
    <x:xf numFmtId="201" fontId="15" fillId="8" borderId="32" xfId="0" applyNumberFormat="1" applyFont="1" applyFill="1" applyBorder="1" applyAlignment="1">
      <x:alignment vertical="center"/>
    </x:xf>
    <x:xf numFmtId="201" fontId="7" fillId="2" borderId="21" xfId="0" applyNumberFormat="1" applyFont="1" applyFill="1" applyBorder="1" applyAlignment="1">
      <x:alignment vertical="center"/>
    </x:xf>
    <x:xf numFmtId="0" fontId="15" fillId="8" borderId="30" xfId="0" applyNumberFormat="1" applyFont="1" applyFill="1" applyBorder="1" applyAlignment="1">
      <x:alignment vertical="center"/>
    </x:xf>
    <x:xf numFmtId="0" fontId="15" fillId="8" borderId="33" xfId="0" applyNumberFormat="1" applyFont="1" applyFill="1" applyBorder="1" applyAlignment="1">
      <x:alignment vertical="center"/>
    </x:xf>
    <x:xf numFmtId="207" fontId="15" fillId="8" borderId="33" xfId="0" applyNumberFormat="1" applyFont="1" applyFill="1" applyBorder="1" applyAlignment="1">
      <x:alignment vertical="center"/>
    </x:xf>
    <x:xf numFmtId="200" fontId="14" fillId="7" borderId="10" xfId="0" applyNumberFormat="1" applyFont="1" applyFill="1" applyBorder="1" applyAlignment="1">
      <x:alignment vertical="center"/>
    </x:xf>
    <x:xf numFmtId="200" fontId="14" fillId="7" borderId="12" xfId="0" applyNumberFormat="1" applyFont="1" applyFill="1" applyBorder="1" applyAlignment="1">
      <x:alignment vertical="center"/>
    </x:xf>
    <x:xf numFmtId="200" fontId="14" fillId="7" borderId="15" xfId="0" applyNumberFormat="1" applyFont="1" applyFill="1" applyBorder="1" applyAlignment="1">
      <x:alignment vertical="center"/>
    </x:xf>
  </x:cellXfs>
  <x:cellStyles count="1">
    <x:cellStyle name="Normal" xfId="0"/>
  </x:cellStyles>
  <x:dxfs count="8">
    <x:dxf>
      <x:font>
        <x:b/>
        <x:color rgb="FFDC2626"/>
      </x:font>
      <x:fill>
        <x:patternFill patternType="solid">
          <x:bgColor rgb="FFFEECEC"/>
        </x:patternFill>
      </x:fill>
    </x:dxf>
    <x:dxf>
      <x:font>
        <x:b/>
        <x:color rgb="FFDC2626"/>
      </x:font>
      <x:fill>
        <x:patternFill patternType="solid">
          <x:bgColor rgb="FFFEECEC"/>
        </x:patternFill>
      </x:fill>
    </x:dxf>
    <x:dxf>
      <x:font>
        <x:b/>
        <x:color rgb="FF08745B"/>
      </x:font>
      <x:fill>
        <x:patternFill patternType="solid">
          <x:bgColor rgb="FFE5F8F1"/>
        </x:patternFill>
      </x:fill>
    </x:dxf>
    <x:dxf>
      <x:font>
        <x:b/>
        <x:color rgb="FF08745B"/>
      </x:font>
      <x:fill>
        <x:patternFill patternType="solid">
          <x:bgColor rgb="FFE5F8F1"/>
        </x:patternFill>
      </x:fill>
    </x:dxf>
    <x:dxf>
      <x:font>
        <x:b/>
        <x:color rgb="FFDC2626"/>
      </x:font>
      <x:fill>
        <x:patternFill patternType="solid">
          <x:bgColor rgb="FFFEECEC"/>
        </x:patternFill>
      </x:fill>
    </x:dxf>
    <x:dxf>
      <x:font>
        <x:b/>
        <x:color rgb="FFDC2626"/>
      </x:font>
      <x:fill>
        <x:patternFill patternType="solid">
          <x:bgColor rgb="FFFEECEC"/>
        </x:patternFill>
      </x:fill>
    </x:dxf>
    <x:dxf>
      <x:font>
        <x:b/>
        <x:color rgb="FF08745B"/>
      </x:font>
      <x:fill>
        <x:patternFill patternType="solid">
          <x:bgColor rgb="FFE5F8F1"/>
        </x:patternFill>
      </x:fill>
    </x:dxf>
    <x:dxf>
      <x:font>
        <x:b/>
        <x:color rgb="FFDC2626"/>
      </x:font>
      <x:fill>
        <x:patternFill patternType="solid">
          <x:bgColor rgb="FFFE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8eea82ee1af4bbf" /><Relationship Type="http://schemas.openxmlformats.org/officeDocument/2006/relationships/theme" Target="/xl/theme/theme1.xml" Id="R8087805f8e0b46f0" /><Relationship Type="http://schemas.openxmlformats.org/officeDocument/2006/relationships/sharedStrings" Target="/xl/sharedStrings.xml" Id="R4f37c75c09954d7d" /><Relationship Type="http://schemas.openxmlformats.org/officeDocument/2006/relationships/worksheet" Target="/xl/worksheets/sheet1.xml" Id="Rfda78ac5cde048ae" /><Relationship Type="http://schemas.openxmlformats.org/officeDocument/2006/relationships/worksheet" Target="/xl/worksheets/sheet2.xml" Id="R60efb121474c40e3" /><Relationship Type="http://schemas.openxmlformats.org/officeDocument/2006/relationships/worksheet" Target="/xl/worksheets/sheet3.xml" Id="Rf1ebb5f3982a4b36" /><Relationship Type="http://schemas.openxmlformats.org/officeDocument/2006/relationships/worksheet" Target="/xl/worksheets/sheet4.xml" Id="Rc6a4d1ee313149b8" /><Relationship Type="http://schemas.openxmlformats.org/officeDocument/2006/relationships/worksheet" Target="/xl/worksheets/sheet5.xml" Id="R151ecaea553b44dc" /><Relationship Type="http://schemas.openxmlformats.org/officeDocument/2006/relationships/worksheet" Target="/xl/worksheets/sheet6.xml" Id="Rf8fe9c7c0dfe4319" /><Relationship Type="http://schemas.openxmlformats.org/officeDocument/2006/relationships/worksheet" Target="/xl/worksheets/sheet7.xml" Id="R95c73353bcb54129" /><Relationship Type="http://schemas.openxmlformats.org/officeDocument/2006/relationships/worksheet" Target="/xl/worksheets/sheet8.xml" Id="R508fcb9330934046" /><Relationship Type="http://schemas.openxmlformats.org/officeDocument/2006/relationships/worksheet" Target="/xl/worksheets/sheet9.xml" Id="Ra7b241bc7217486e" /><Relationship Type="http://schemas.openxmlformats.org/officeDocument/2006/relationships/worksheet" Target="/xl/worksheets/sheet10.xml" Id="R157b5b7b622f47a1" /><Relationship Type="http://schemas.openxmlformats.org/officeDocument/2006/relationships/worksheet" Target="/xl/worksheets/sheet11.xml" Id="R4084faf291af45cc" /><Relationship Type="http://schemas.openxmlformats.org/officeDocument/2006/relationships/worksheet" Target="/xl/worksheets/sheet12.xml" Id="R88045aede9414c4a" /><Relationship Type="http://schemas.openxmlformats.org/officeDocument/2006/relationships/worksheet" Target="/xl/worksheets/sheet13.xml" Id="R0185865d663e4906" /><Relationship Type="http://schemas.openxmlformats.org/officeDocument/2006/relationships/worksheet" Target="/xl/worksheets/sheet14.xml" Id="R5a308d3689d9465b" /><Relationship Type="http://schemas.openxmlformats.org/officeDocument/2006/relationships/worksheet" Target="/xl/worksheets/sheet15.xml" Id="R19040c70b9eb46bb" /><Relationship Type="http://schemas.openxmlformats.org/officeDocument/2006/relationships/worksheet" Target="/xl/worksheets/sheet16.xml" Id="R88b4276975434098" /></Relationships>
</file>

<file path=xl/drawings/_rels/drawing1.xml.rels>&#65279;<?xml version="1.0" encoding="utf-8"?><Relationships xmlns="http://schemas.openxmlformats.org/package/2006/relationships"><Relationship Type="http://schemas.openxmlformats.org/officeDocument/2006/relationships/chart" Target="/xl/drawings/charts/chart1.xml" Id="R0d67c0faea364cf6" /><Relationship Type="http://schemas.openxmlformats.org/officeDocument/2006/relationships/chart" Target="/xl/drawings/charts/chart2.xml" Id="R155fb2ac2e744d9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Current investment mix</a:t>
            </a:r>
          </a:p>
        </c:rich>
      </c:tx>
    </c:title>
    <c:plotArea>
      <c:doughnutChart>
        <c:ser>
          <c:idx val="0"/>
          <c:order val="0"/>
          <c:tx>
            <c:v>Current value</c:v>
          </c:tx>
          <c:cat>
            <c:strRef>
              <c:f>'Dashboard'!$H$21:$H$25</c:f>
              <c:strCache>
                <c:ptCount val="0"/>
              </c:strCache>
            </c:strRef>
          </c:cat>
          <c:val>
            <c:numRef>
              <c:f>'Dashboard'!$I$21:$I$25</c:f>
              <c:numCache>
                <c:formatCode>"₹"#,##0;[Red]("₹"#,##0);-</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Goal funding progress</a:t>
            </a:r>
          </a:p>
        </c:rich>
      </c:tx>
    </c:title>
    <c:plotArea>
      <c:barChart>
        <c:barDir val="col"/>
        <c:varyColors val="0"/>
        <c:ser>
          <c:idx val="0"/>
          <c:order val="0"/>
          <c:tx>
            <c:v>Funding %</c:v>
          </c:tx>
          <c:cat>
            <c:strRef>
              <c:f>'Dashboard'!$K$21:$K$25</c:f>
              <c:strCache>
                <c:ptCount val="0"/>
              </c:strCache>
            </c:strRef>
          </c:cat>
          <c:val>
            <c:numRef>
              <c:f>'Dashboard'!$L$21:$L$25</c:f>
              <c:numCache>
                <c:formatCode>0.0%;[Red](0.0%);-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xdr:row>
      <xdr:rowOff>0</xdr:rowOff>
    </xdr:from>
    <xdr:to>
      <xdr:col>14</xdr:col>
      <xdr:colOff>0</xdr:colOff>
      <xdr:row>11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d67c0faea364cf6"/>
        </a:graphicData>
      </a:graphic>
    </xdr:graphicFrame>
    <xdr:clientData/>
  </xdr:twoCellAnchor>
  <xdr:twoCellAnchor>
    <xdr:from>
      <xdr:col>7</xdr:col>
      <xdr:colOff>0</xdr:colOff>
      <xdr:row>11</xdr:row>
      <xdr:rowOff>0</xdr:rowOff>
    </xdr:from>
    <xdr:to>
      <xdr:col>14</xdr:col>
      <xdr:colOff>0</xdr:colOff>
      <xdr:row>28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55fb2ac2e744d90"/>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71a78fe67a464d53"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45" hidden="0" customWidth="1"/>
    <x:col min="3" max="3" width="3" hidden="0" customWidth="1"/>
    <x:col min="4" max="4" width="24" hidden="0" customWidth="1"/>
    <x:col min="5" max="5" width="48" hidden="0" customWidth="1"/>
    <x:col min="6" max="6" width="18" hidden="0" customWidth="1"/>
    <x:col min="7" max="7" width="22" hidden="0" customWidth="1"/>
    <x:col min="8" max="8" width="16" hidden="0" customWidth="1"/>
  </x:cols>
  <x:sheetData>
    <x:row r="1" ht="36" customHeight="1">
      <x:c r="A1" s="4" t="str">
        <x:v>FinPlanner Complete Financial Planner</x:v>
      </x:c>
      <x:c r="B1" s="4" t="str">
        <x:v>FinPlanner Complete Financial Planner</x:v>
      </x:c>
      <x:c r="C1" s="4" t="str">
        <x:v>FinPlanner Complete Financial Planner</x:v>
      </x:c>
      <x:c r="D1" s="4" t="str">
        <x:v>FinPlanner Complete Financial Planner</x:v>
      </x:c>
      <x:c r="E1" s="4" t="str">
        <x:v>FinPlanner Complete Financial Planner</x:v>
      </x:c>
      <x:c r="F1" s="4" t="str">
        <x:v>FinPlanner Complete Financial Planner</x:v>
      </x:c>
      <x:c r="G1" s="4" t="str">
        <x:v>FinPlanner Complete Financial Planner</x:v>
      </x:c>
      <x:c r="H1" s="4" t="str">
        <x:v>FinPlanner Complete Financial Planner</x:v>
      </x:c>
    </x:row>
    <x:row r="2" ht="27" customHeight="1">
      <x:c r="A2" s="170" t="str">
        <x:v>A private, connected planning system for Indian households | Version 2.0 | Educational use</x:v>
      </x:c>
      <x:c r="B2" s="170" t="str">
        <x:v>A private, connected planning system for Indian households | Version 2.0 | Educational use</x:v>
      </x:c>
      <x:c r="C2" s="170" t="str">
        <x:v>A private, connected planning system for Indian households | Version 2.0 | Educational use</x:v>
      </x:c>
      <x:c r="D2" s="170" t="str">
        <x:v>A private, connected planning system for Indian households | Version 2.0 | Educational use</x:v>
      </x:c>
      <x:c r="E2" s="170" t="str">
        <x:v>A private, connected planning system for Indian households | Version 2.0 | Educational use</x:v>
      </x:c>
      <x:c r="F2" s="170" t="str">
        <x:v>A private, connected planning system for Indian households | Version 2.0 | Educational use</x:v>
      </x:c>
      <x:c r="G2" s="170" t="str">
        <x:v>A private, connected planning system for Indian households | Version 2.0 | Educational use</x:v>
      </x:c>
      <x:c r="H2" s="170" t="str">
        <x:v>A private, connected planning system for Indian households | Version 2.0 | Educational use</x:v>
      </x:c>
    </x:row>
    <x:row r="3">
      <x:c r="A3" s="171"/>
      <x:c r="B3" s="171"/>
      <x:c r="C3" s="171"/>
      <x:c r="D3" s="171"/>
      <x:c r="E3" s="171"/>
      <x:c r="F3" s="171"/>
      <x:c r="G3" s="171"/>
      <x:c r="H3" s="171"/>
    </x:row>
    <x:row r="4" ht="30" customHeight="1">
      <x:c r="A4" s="172" t="str">
        <x:v>Your financial life, organised from today to long-term goals.</x:v>
      </x:c>
      <x:c r="B4" s="172"/>
      <x:c r="C4" s="172"/>
      <x:c r="D4" s="172"/>
      <x:c r="E4" s="172"/>
      <x:c r="F4" s="172"/>
      <x:c r="G4" s="172"/>
      <x:c r="H4" s="172"/>
    </x:row>
    <x:row r="5">
      <x:c r="A5" s="171"/>
      <x:c r="B5" s="171"/>
      <x:c r="C5" s="171"/>
      <x:c r="D5" s="171"/>
      <x:c r="E5" s="171"/>
      <x:c r="F5" s="171"/>
      <x:c r="G5" s="171"/>
      <x:c r="H5" s="171"/>
    </x:row>
    <x:row r="6" ht="23" customHeight="1">
      <x:c r="A6" s="173" t="str">
        <x:v>1</x:v>
      </x:c>
      <x:c r="B6" s="174" t="str">
        <x:v>Complete Profile and assumptions</x:v>
      </x:c>
      <x:c r="C6" s="171"/>
      <x:c r="D6" s="16" t="str">
        <x:v>What is included</x:v>
      </x:c>
      <x:c r="E6" s="16" t="str">
        <x:v>What is included</x:v>
      </x:c>
      <x:c r="F6" s="16" t="str">
        <x:v>What is included</x:v>
      </x:c>
      <x:c r="G6" s="16" t="str">
        <x:v>What is included</x:v>
      </x:c>
      <x:c r="H6" s="16" t="str">
        <x:v>What is included</x:v>
      </x:c>
    </x:row>
    <x:row r="7" ht="25" customHeight="1">
      <x:c r="A7" s="173" t="str">
        <x:v>2</x:v>
      </x:c>
      <x:c r="B7" s="174" t="str">
        <x:v>Enter one representative month in Monthly Budget</x:v>
      </x:c>
      <x:c r="C7" s="171"/>
      <x:c r="D7" s="21" t="str">
        <x:v>Planning area</x:v>
      </x:c>
      <x:c r="E7" s="21" t="str">
        <x:v>What it answers</x:v>
      </x:c>
      <x:c r="F7" s="21" t="str">
        <x:v>Update</x:v>
      </x:c>
      <x:c r="G7" s="21" t="str">
        <x:v>Connected to</x:v>
      </x:c>
      <x:c r="H7" s="21" t="str">
        <x:v>Status</x:v>
      </x:c>
    </x:row>
    <x:row r="8">
      <x:c r="A8" s="173" t="str">
        <x:v>3</x:v>
      </x:c>
      <x:c r="B8" s="174" t="str">
        <x:v>Update Net Worth, Emergency Fund, Goals and Debt</x:v>
      </x:c>
      <x:c r="C8" s="171"/>
      <x:c r="D8" s="175" t="str">
        <x:v>Dashboard</x:v>
      </x:c>
      <x:c r="E8" s="175" t="str">
        <x:v>Where do I stand now?</x:v>
      </x:c>
      <x:c r="F8" s="175" t="str">
        <x:v>Automatic</x:v>
      </x:c>
      <x:c r="G8" s="175" t="str">
        <x:v>All core sheets</x:v>
      </x:c>
      <x:c r="H8" s="175" t="str">
        <x:v>View</x:v>
      </x:c>
    </x:row>
    <x:row r="9">
      <x:c r="A9" s="173" t="str">
        <x:v>4</x:v>
      </x:c>
      <x:c r="B9" s="174" t="str">
        <x:v>Review Insurance, Retirement and Allocation</x:v>
      </x:c>
      <x:c r="C9" s="171"/>
      <x:c r="D9" s="176" t="str">
        <x:v>Budget &amp; cash flow</x:v>
      </x:c>
      <x:c r="E9" s="176" t="str">
        <x:v>Where does monthly money go?</x:v>
      </x:c>
      <x:c r="F9" s="176" t="str">
        <x:v>Monthly</x:v>
      </x:c>
      <x:c r="G9" s="176" t="str">
        <x:v>Emergency fund</x:v>
      </x:c>
      <x:c r="H9" s="176" t="str">
        <x:v>Enter</x:v>
      </x:c>
    </x:row>
    <x:row r="10">
      <x:c r="A10" s="173" t="str">
        <x:v>5</x:v>
      </x:c>
      <x:c r="B10" s="174" t="str">
        <x:v>Use Dashboard and 90 Day Plan to act</x:v>
      </x:c>
      <x:c r="C10" s="171"/>
      <x:c r="D10" s="176" t="str">
        <x:v>Net worth</x:v>
      </x:c>
      <x:c r="E10" s="176" t="str">
        <x:v>What do I own and owe?</x:v>
      </x:c>
      <x:c r="F10" s="176" t="str">
        <x:v>Quarterly</x:v>
      </x:c>
      <x:c r="G10" s="176" t="str">
        <x:v>Dashboard</x:v>
      </x:c>
      <x:c r="H10" s="176" t="str">
        <x:v>Enter</x:v>
      </x:c>
    </x:row>
    <x:row r="11">
      <x:c r="A11" s="171"/>
      <x:c r="B11" s="171"/>
      <x:c r="C11" s="171"/>
      <x:c r="D11" s="176" t="str">
        <x:v>Goals &amp; retirement</x:v>
      </x:c>
      <x:c r="E11" s="176" t="str">
        <x:v>How much should I save?</x:v>
      </x:c>
      <x:c r="F11" s="176" t="str">
        <x:v>Quarterly</x:v>
      </x:c>
      <x:c r="G11" s="176" t="str">
        <x:v>Dashboard</x:v>
      </x:c>
      <x:c r="H11" s="176" t="str">
        <x:v>Enter</x:v>
      </x:c>
    </x:row>
    <x:row r="12">
      <x:c r="A12" s="171"/>
      <x:c r="B12" s="171"/>
      <x:c r="C12" s="171"/>
      <x:c r="D12" s="176" t="str">
        <x:v>Debt &amp; protection</x:v>
      </x:c>
      <x:c r="E12" s="176" t="str">
        <x:v>What financial risks need attention?</x:v>
      </x:c>
      <x:c r="F12" s="176" t="str">
        <x:v>Monthly / yearly</x:v>
      </x:c>
      <x:c r="G12" s="176" t="str">
        <x:v>Action plan</x:v>
      </x:c>
      <x:c r="H12" s="176" t="str">
        <x:v>Enter</x:v>
      </x:c>
    </x:row>
    <x:row r="13" ht="23" customHeight="1">
      <x:c r="A13" s="16" t="str">
        <x:v>Colour guide</x:v>
      </x:c>
      <x:c r="B13" s="16" t="str">
        <x:v>Colour guide</x:v>
      </x:c>
      <x:c r="C13" s="171"/>
      <x:c r="D13" s="176" t="str">
        <x:v>Tax &amp; annual review</x:v>
      </x:c>
      <x:c r="E13" s="176" t="str">
        <x:v>What must I organise and revisit?</x:v>
      </x:c>
      <x:c r="F13" s="176" t="str">
        <x:v>Yearly</x:v>
      </x:c>
      <x:c r="G13" s="176" t="str">
        <x:v>Action plan</x:v>
      </x:c>
      <x:c r="H13" s="176" t="str">
        <x:v>Review</x:v>
      </x:c>
    </x:row>
    <x:row r="14">
      <x:c r="A14" s="177" t="str">
        <x:v>Yellow / blue</x:v>
      </x:c>
      <x:c r="B14" s="171" t="str">
        <x:v>Editable input</x:v>
      </x:c>
      <x:c r="C14" s="171"/>
      <x:c r="D14" s="178" t="str">
        <x:v>Checks</x:v>
      </x:c>
      <x:c r="E14" s="178" t="str">
        <x:v>Is the model internally consistent?</x:v>
      </x:c>
      <x:c r="F14" s="178" t="str">
        <x:v>Automatic</x:v>
      </x:c>
      <x:c r="G14" s="178" t="str">
        <x:v>All sheets</x:v>
      </x:c>
      <x:c r="H14" s="178" t="str">
        <x:v>View</x:v>
      </x:c>
    </x:row>
    <x:row r="15">
      <x:c r="A15" s="179" t="str">
        <x:v>Green</x:v>
      </x:c>
      <x:c r="B15" s="171" t="str">
        <x:v>Calculated output</x:v>
      </x:c>
      <x:c r="C15" s="171"/>
      <x:c r="D15" s="171"/>
      <x:c r="E15" s="171"/>
      <x:c r="F15" s="171"/>
      <x:c r="G15" s="171"/>
      <x:c r="H15" s="171"/>
    </x:row>
    <x:row r="16">
      <x:c r="A16" s="180" t="str">
        <x:v>Green text</x:v>
      </x:c>
      <x:c r="B16" s="171" t="str">
        <x:v>Linked from another sheet</x:v>
      </x:c>
      <x:c r="C16" s="171"/>
      <x:c r="D16" s="171"/>
      <x:c r="E16" s="171"/>
      <x:c r="F16" s="171"/>
      <x:c r="G16" s="171"/>
      <x:c r="H16" s="171"/>
    </x:row>
    <x:row r="17">
      <x:c r="A17" s="181" t="str">
        <x:v>Red</x:v>
      </x:c>
      <x:c r="B17" s="171" t="str">
        <x:v>Warning or incomplete item</x:v>
      </x:c>
      <x:c r="C17" s="171"/>
      <x:c r="D17" s="171"/>
      <x:c r="E17" s="171"/>
      <x:c r="F17" s="171"/>
      <x:c r="G17" s="171"/>
      <x:c r="H17" s="171"/>
    </x:row>
    <x:row r="18">
      <x:c r="A18" s="171"/>
      <x:c r="B18" s="171"/>
      <x:c r="C18" s="171"/>
      <x:c r="D18" s="171"/>
      <x:c r="E18" s="171"/>
      <x:c r="F18" s="171"/>
      <x:c r="G18" s="171"/>
      <x:c r="H18" s="171"/>
    </x:row>
    <x:row r="19">
      <x:c r="A19" s="171"/>
      <x:c r="B19" s="171"/>
      <x:c r="C19" s="171"/>
      <x:c r="D19" s="171"/>
      <x:c r="E19" s="171"/>
      <x:c r="F19" s="171"/>
      <x:c r="G19" s="171"/>
      <x:c r="H19" s="171"/>
    </x:row>
    <x:row r="20" ht="32" customHeight="1">
      <x:c r="A20" s="182" t="str">
        <x:v>Important: This workbook provides educational planning estimates, not personalised investment, tax, legal, insurance or accounting advice. Verify assumptions and current rules independently. Do not store passwords, PINs, Aadhaar numbers or full account details.</x:v>
      </x:c>
      <x:c r="B20" s="182" t="str">
        <x:v>Important: This workbook provides educational planning estimates, not personalised investment, tax, legal, insurance or accounting advice. Verify assumptions and current rules independently. Do not store passwords, PINs, Aadhaar numbers or full account details.</x:v>
      </x:c>
      <x:c r="C20" s="182" t="str">
        <x:v>Important: This workbook provides educational planning estimates, not personalised investment, tax, legal, insurance or accounting advice. Verify assumptions and current rules independently. Do not store passwords, PINs, Aadhaar numbers or full account details.</x:v>
      </x:c>
      <x:c r="D20" s="182" t="str">
        <x:v>Important: This workbook provides educational planning estimates, not personalised investment, tax, legal, insurance or accounting advice. Verify assumptions and current rules independently. Do not store passwords, PINs, Aadhaar numbers or full account details.</x:v>
      </x:c>
      <x:c r="E20" s="182" t="str">
        <x:v>Important: This workbook provides educational planning estimates, not personalised investment, tax, legal, insurance or accounting advice. Verify assumptions and current rules independently. Do not store passwords, PINs, Aadhaar numbers or full account details.</x:v>
      </x:c>
      <x:c r="F20" s="182" t="str">
        <x:v>Important: This workbook provides educational planning estimates, not personalised investment, tax, legal, insurance or accounting advice. Verify assumptions and current rules independently. Do not store passwords, PINs, Aadhaar numbers or full account details.</x:v>
      </x:c>
      <x:c r="G20" s="182" t="str">
        <x:v>Important: This workbook provides educational planning estimates, not personalised investment, tax, legal, insurance or accounting advice. Verify assumptions and current rules independently. Do not store passwords, PINs, Aadhaar numbers or full account details.</x:v>
      </x:c>
      <x:c r="H20" s="182" t="str">
        <x:v>Important: This workbook provides educational planning estimates, not personalised investment, tax, legal, insurance or accounting advice. Verify assumptions and current rules independently. Do not store passwords, PINs, Aadhaar numbers or full account details.</x:v>
      </x:c>
    </x:row>
    <x:row r="21" ht="32" customHeight="1">
      <x:c r="A21" s="182" t="str">
        <x:v>Important: This workbook provides educational planning estimates, not personalised investment, tax, legal, insurance or accounting advice. Verify assumptions and current rules independently. Do not store passwords, PINs, Aadhaar numbers or full account details.</x:v>
      </x:c>
      <x:c r="B21" s="182" t="str">
        <x:v>Important: This workbook provides educational planning estimates, not personalised investment, tax, legal, insurance or accounting advice. Verify assumptions and current rules independently. Do not store passwords, PINs, Aadhaar numbers or full account details.</x:v>
      </x:c>
      <x:c r="C21" s="182" t="str">
        <x:v>Important: This workbook provides educational planning estimates, not personalised investment, tax, legal, insurance or accounting advice. Verify assumptions and current rules independently. Do not store passwords, PINs, Aadhaar numbers or full account details.</x:v>
      </x:c>
      <x:c r="D21" s="182" t="str">
        <x:v>Important: This workbook provides educational planning estimates, not personalised investment, tax, legal, insurance or accounting advice. Verify assumptions and current rules independently. Do not store passwords, PINs, Aadhaar numbers or full account details.</x:v>
      </x:c>
      <x:c r="E21" s="182" t="str">
        <x:v>Important: This workbook provides educational planning estimates, not personalised investment, tax, legal, insurance or accounting advice. Verify assumptions and current rules independently. Do not store passwords, PINs, Aadhaar numbers or full account details.</x:v>
      </x:c>
      <x:c r="F21" s="182" t="str">
        <x:v>Important: This workbook provides educational planning estimates, not personalised investment, tax, legal, insurance or accounting advice. Verify assumptions and current rules independently. Do not store passwords, PINs, Aadhaar numbers or full account details.</x:v>
      </x:c>
      <x:c r="G21" s="182" t="str">
        <x:v>Important: This workbook provides educational planning estimates, not personalised investment, tax, legal, insurance or accounting advice. Verify assumptions and current rules independently. Do not store passwords, PINs, Aadhaar numbers or full account details.</x:v>
      </x:c>
      <x:c r="H21" s="182" t="str">
        <x:v>Important: This workbook provides educational planning estimates, not personalised investment, tax, legal, insurance or accounting advice. Verify assumptions and current rules independently. Do not store passwords, PINs, Aadhaar numbers or full account details.</x:v>
      </x:c>
    </x:row>
  </x:sheetData>
  <x:mergeCells>
    <x:mergeCell ref="A1:H1"/>
    <x:mergeCell ref="A2:H2"/>
    <x:mergeCell ref="A4:H4"/>
    <x:mergeCell ref="D6:H6"/>
    <x:mergeCell ref="A13:B13"/>
    <x:mergeCell ref="A20:H2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38" hidden="0" customWidth="1"/>
    <x:col min="4" max="4" width="18" hidden="0" customWidth="1"/>
    <x:col min="5" max="5" width="18" hidden="0" customWidth="1"/>
    <x:col min="6" max="6" width="20" hidden="0" customWidth="1"/>
    <x:col min="7" max="7" width="4" hidden="0" customWidth="1"/>
    <x:col min="8" max="8" width="18"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s>
  <x:sheetData>
    <x:row r="1" ht="36" customHeight="1">
      <x:c r="A1" s="4" t="str">
        <x:v>Financial Planning Dashboard</x:v>
      </x:c>
      <x:c r="B1" s="4" t="str">
        <x:v>Financial Planning Dashboard</x:v>
      </x:c>
      <x:c r="C1" s="4" t="str">
        <x:v>Financial Planning Dashboard</x:v>
      </x:c>
      <x:c r="D1" s="4" t="str">
        <x:v>Financial Planning Dashboard</x:v>
      </x:c>
      <x:c r="E1" s="4" t="str">
        <x:v>Financial Planning Dashboard</x:v>
      </x:c>
      <x:c r="F1" s="4" t="str">
        <x:v>Financial Planning Dashboard</x:v>
      </x:c>
      <x:c r="G1" s="4" t="str">
        <x:v>Financial Planning Dashboard</x:v>
      </x:c>
      <x:c r="H1" s="4" t="str">
        <x:v>Financial Planning Dashboard</x:v>
      </x:c>
      <x:c r="I1" s="4" t="str">
        <x:v>Financial Planning Dashboard</x:v>
      </x:c>
      <x:c r="J1" s="4" t="str">
        <x:v>Financial Planning Dashboard</x:v>
      </x:c>
      <x:c r="K1" s="4" t="str">
        <x:v>Financial Planning Dashboard</x:v>
      </x:c>
      <x:c r="L1" s="4" t="str">
        <x:v>Financial Planning Dashboard</x:v>
      </x:c>
      <x:c r="M1" s="4" t="str">
        <x:v>Financial Planning Dashboard</x:v>
      </x:c>
      <x:c r="N1" s="4" t="str">
        <x:v>Financial Planning Dashboard</x:v>
      </x:c>
    </x:row>
    <x:row r="2" ht="27" customHeight="1">
      <x:c r="A2" s="170" t="str">
        <x:v>A connected snapshot. Update the yellow cells on each planning sheet; this page updates automatically.</x:v>
      </x:c>
      <x:c r="B2" s="170" t="str">
        <x:v>A connected snapshot. Update the yellow cells on each planning sheet; this page updates automatically.</x:v>
      </x:c>
      <x:c r="C2" s="170" t="str">
        <x:v>A connected snapshot. Update the yellow cells on each planning sheet; this page updates automatically.</x:v>
      </x:c>
      <x:c r="D2" s="170" t="str">
        <x:v>A connected snapshot. Update the yellow cells on each planning sheet; this page updates automatically.</x:v>
      </x:c>
      <x:c r="E2" s="170" t="str">
        <x:v>A connected snapshot. Update the yellow cells on each planning sheet; this page updates automatically.</x:v>
      </x:c>
      <x:c r="F2" s="170" t="str">
        <x:v>A connected snapshot. Update the yellow cells on each planning sheet; this page updates automatically.</x:v>
      </x:c>
      <x:c r="G2" s="170" t="str">
        <x:v>A connected snapshot. Update the yellow cells on each planning sheet; this page updates automatically.</x:v>
      </x:c>
      <x:c r="H2" s="170" t="str">
        <x:v>A connected snapshot. Update the yellow cells on each planning sheet; this page updates automatically.</x:v>
      </x:c>
      <x:c r="I2" s="170" t="str">
        <x:v>A connected snapshot. Update the yellow cells on each planning sheet; this page updates automatically.</x:v>
      </x:c>
      <x:c r="J2" s="170" t="str">
        <x:v>A connected snapshot. Update the yellow cells on each planning sheet; this page updates automatically.</x:v>
      </x:c>
      <x:c r="K2" s="170" t="str">
        <x:v>A connected snapshot. Update the yellow cells on each planning sheet; this page updates automatically.</x:v>
      </x:c>
      <x:c r="L2" s="170" t="str">
        <x:v>A connected snapshot. Update the yellow cells on each planning sheet; this page updates automatically.</x:v>
      </x:c>
      <x:c r="M2" s="170" t="str">
        <x:v>A connected snapshot. Update the yellow cells on each planning sheet; this page updates automatically.</x:v>
      </x:c>
      <x:c r="N2" s="170" t="str">
        <x:v>A connected snapshot. Update the yellow cells on each planning sheet; this page updates automatically.</x:v>
      </x:c>
    </x:row>
    <x:row r="3">
      <x:c r="A3" s="171"/>
      <x:c r="B3" s="171"/>
      <x:c r="C3" s="171"/>
      <x:c r="D3" s="171"/>
      <x:c r="E3" s="171"/>
      <x:c r="F3" s="171"/>
      <x:c r="G3" s="171"/>
      <x:c r="H3" s="171"/>
      <x:c r="I3" s="171"/>
      <x:c r="J3" s="171"/>
      <x:c r="K3" s="171"/>
      <x:c r="L3" s="171"/>
      <x:c r="M3" s="171"/>
      <x:c r="N3" s="171"/>
    </x:row>
    <x:row r="4">
      <x:c r="A4" s="16" t="str">
        <x:v>Net worth</x:v>
      </x:c>
      <x:c r="B4" s="183" t="n">
        <x:f>'Net Worth'!F5</x:f>
        <x:v>4125000</x:v>
      </x:c>
      <x:c r="C4" s="171"/>
      <x:c r="D4" s="16" t="str">
        <x:v>Debt balance</x:v>
      </x:c>
      <x:c r="E4" s="183" t="n">
        <x:f>'Debt Payoff'!B12</x:f>
        <x:v>3475000</x:v>
      </x:c>
      <x:c r="F4" s="171"/>
      <x:c r="G4" s="171"/>
      <x:c r="H4" s="171"/>
      <x:c r="I4" s="171"/>
      <x:c r="J4" s="171"/>
      <x:c r="K4" s="171"/>
      <x:c r="L4" s="171"/>
      <x:c r="M4" s="171"/>
      <x:c r="N4" s="171"/>
    </x:row>
    <x:row r="5">
      <x:c r="A5" s="16" t="str">
        <x:v>Monthly surplus</x:v>
      </x:c>
      <x:c r="B5" s="184" t="n">
        <x:f>'Monthly Budget'!D5</x:f>
        <x:v>30500</x:v>
      </x:c>
      <x:c r="C5" s="171"/>
      <x:c r="D5" s="16" t="str">
        <x:v>Savings rate</x:v>
      </x:c>
      <x:c r="E5" s="185" t="n">
        <x:f>'Monthly Budget'!E5</x:f>
        <x:v>0.22592592592592592</x:v>
      </x:c>
      <x:c r="F5" s="171"/>
      <x:c r="G5" s="171"/>
      <x:c r="H5" s="171"/>
      <x:c r="I5" s="171"/>
      <x:c r="J5" s="171"/>
      <x:c r="K5" s="171"/>
      <x:c r="L5" s="171"/>
      <x:c r="M5" s="171"/>
      <x:c r="N5" s="171"/>
    </x:row>
    <x:row r="6">
      <x:c r="A6" s="16" t="str">
        <x:v>Emergency fund gap</x:v>
      </x:c>
      <x:c r="B6" s="184" t="n">
        <x:f>'Emergency Fund'!E9</x:f>
        <x:v>317000</x:v>
      </x:c>
      <x:c r="C6" s="171"/>
      <x:c r="D6" s="16" t="str">
        <x:v>Emergency cover</x:v>
      </x:c>
      <x:c r="E6" s="186" t="n">
        <x:f>'Emergency Fund'!E12</x:f>
        <x:v>1.4388489208633093</x:v>
      </x:c>
      <x:c r="F6" s="171"/>
      <x:c r="G6" s="171"/>
      <x:c r="H6" s="171"/>
      <x:c r="I6" s="171"/>
      <x:c r="J6" s="171"/>
      <x:c r="K6" s="171"/>
      <x:c r="L6" s="171"/>
      <x:c r="M6" s="171"/>
      <x:c r="N6" s="171"/>
    </x:row>
    <x:row r="7">
      <x:c r="A7" s="16" t="str">
        <x:v>Goal monthly saving</x:v>
      </x:c>
      <x:c r="B7" s="184" t="n">
        <x:f>'Goals'!I11</x:f>
        <x:v>115221.98400531938</x:v>
      </x:c>
      <x:c r="C7" s="171"/>
      <x:c r="D7" s="16" t="str">
        <x:v>Goals funded today</x:v>
      </x:c>
      <x:c r="E7" s="185" t="n">
        <x:f>IF('Goals'!E11=0,0,'Goals'!H11/'Goals'!E11)</x:f>
        <x:v>0.11552846132045498</x:v>
      </x:c>
      <x:c r="F7" s="171"/>
      <x:c r="G7" s="171"/>
      <x:c r="H7" s="171"/>
      <x:c r="I7" s="171"/>
      <x:c r="J7" s="171"/>
      <x:c r="K7" s="171"/>
      <x:c r="L7" s="171"/>
      <x:c r="M7" s="171"/>
      <x:c r="N7" s="171"/>
    </x:row>
    <x:row r="8">
      <x:c r="A8" s="16" t="str">
        <x:v>Retirement monthly total</x:v>
      </x:c>
      <x:c r="B8" s="187" t="n">
        <x:f>'Retirement Plan'!B18</x:f>
        <x:v>211502.19925302314</x:v>
      </x:c>
      <x:c r="C8" s="171"/>
      <x:c r="D8" s="16" t="str">
        <x:v>Action completion</x:v>
      </x:c>
      <x:c r="E8" s="188" t="n">
        <x:f>'90 Day Plan'!B19</x:f>
        <x:v>0</x:v>
      </x:c>
      <x:c r="F8" s="171"/>
      <x:c r="G8" s="171"/>
      <x:c r="H8" s="171"/>
      <x:c r="I8" s="171"/>
      <x:c r="J8" s="171"/>
      <x:c r="K8" s="171"/>
      <x:c r="L8" s="171"/>
      <x:c r="M8" s="171"/>
      <x:c r="N8" s="171"/>
    </x:row>
    <x:row r="9">
      <x:c r="A9" s="171"/>
      <x:c r="B9" s="171"/>
      <x:c r="C9" s="171"/>
      <x:c r="D9" s="171"/>
      <x:c r="E9" s="171"/>
      <x:c r="F9" s="171"/>
      <x:c r="G9" s="171"/>
      <x:c r="H9" s="171"/>
      <x:c r="I9" s="171"/>
      <x:c r="J9" s="171"/>
      <x:c r="K9" s="171"/>
      <x:c r="L9" s="171"/>
      <x:c r="M9" s="171"/>
      <x:c r="N9" s="171"/>
    </x:row>
    <x:row r="10">
      <x:c r="A10" s="171"/>
      <x:c r="B10" s="171"/>
      <x:c r="C10" s="171"/>
      <x:c r="D10" s="171"/>
      <x:c r="E10" s="171"/>
      <x:c r="F10" s="171"/>
      <x:c r="G10" s="171"/>
      <x:c r="H10" s="171"/>
      <x:c r="I10" s="171"/>
      <x:c r="J10" s="171"/>
      <x:c r="K10" s="171"/>
      <x:c r="L10" s="171"/>
      <x:c r="M10" s="171"/>
      <x:c r="N10" s="171"/>
    </x:row>
    <x:row r="11" ht="23" customHeight="1">
      <x:c r="A11" s="16" t="str">
        <x:v>Planner health</x:v>
      </x:c>
      <x:c r="B11" s="16" t="str">
        <x:v>Planner health</x:v>
      </x:c>
      <x:c r="C11" s="16" t="str">
        <x:v>Planner health</x:v>
      </x:c>
      <x:c r="D11" s="16" t="str">
        <x:v>Planner health</x:v>
      </x:c>
      <x:c r="E11" s="16" t="str">
        <x:v>Planner health</x:v>
      </x:c>
      <x:c r="F11" s="16" t="str">
        <x:v>Planner health</x:v>
      </x:c>
      <x:c r="G11" s="171"/>
      <x:c r="H11" s="171"/>
      <x:c r="I11" s="171"/>
      <x:c r="J11" s="171"/>
      <x:c r="K11" s="171"/>
      <x:c r="L11" s="171"/>
      <x:c r="M11" s="171"/>
      <x:c r="N11" s="171"/>
    </x:row>
    <x:row r="12" ht="25" customHeight="1">
      <x:c r="A12" s="21" t="str">
        <x:v>Area</x:v>
      </x:c>
      <x:c r="B12" s="21" t="str">
        <x:v>Current signal</x:v>
      </x:c>
      <x:c r="C12" s="21" t="str">
        <x:v>What good looks like</x:v>
      </x:c>
      <x:c r="D12" s="21" t="str">
        <x:v>Priority</x:v>
      </x:c>
      <x:c r="E12" s="21" t="str">
        <x:v>Next review</x:v>
      </x:c>
      <x:c r="F12" s="21" t="str">
        <x:v>Source</x:v>
      </x:c>
      <x:c r="G12" s="171"/>
      <x:c r="H12" s="171"/>
      <x:c r="I12" s="171"/>
      <x:c r="J12" s="171"/>
      <x:c r="K12" s="171"/>
      <x:c r="L12" s="171"/>
      <x:c r="M12" s="171"/>
      <x:c r="N12" s="171"/>
    </x:row>
    <x:row r="13">
      <x:c r="A13" s="171" t="str">
        <x:v>Cash flow</x:v>
      </x:c>
      <x:c r="B13" s="180" t="str">
        <x:f>IF('Monthly Budget'!D5&gt;=0,"Positive surplus","Deficit")</x:f>
        <x:v>Positive surplus</x:v>
      </x:c>
      <x:c r="C13" s="171" t="str">
        <x:v>Positive surplus and sustainable saving</x:v>
      </x:c>
      <x:c r="D13" s="171" t="str">
        <x:f>IF(B13="Deficit","High","Medium")</x:f>
        <x:v>Medium</x:v>
      </x:c>
      <x:c r="E13" s="171" t="str">
        <x:v>Monthly</x:v>
      </x:c>
      <x:c r="F13" s="171" t="str">
        <x:v>Monthly Budget</x:v>
      </x:c>
      <x:c r="G13" s="171"/>
      <x:c r="H13" s="171"/>
      <x:c r="I13" s="171"/>
      <x:c r="J13" s="171"/>
      <x:c r="K13" s="171"/>
      <x:c r="L13" s="171"/>
      <x:c r="M13" s="171"/>
      <x:c r="N13" s="171"/>
    </x:row>
    <x:row r="14">
      <x:c r="A14" s="171" t="str">
        <x:v>Emergency fund</x:v>
      </x:c>
      <x:c r="B14" s="180" t="str">
        <x:f>IF('Emergency Fund'!E9=0,"Funded","Gap remains")</x:f>
        <x:v>Gap remains</x:v>
      </x:c>
      <x:c r="C14" s="171" t="str">
        <x:v>Chosen target fully funded</x:v>
      </x:c>
      <x:c r="D14" s="171" t="str">
        <x:f>IF(B14="Funded","Low","High")</x:f>
        <x:v>High</x:v>
      </x:c>
      <x:c r="E14" s="171" t="str">
        <x:v>Monthly</x:v>
      </x:c>
      <x:c r="F14" s="171" t="str">
        <x:v>Emergency Fund</x:v>
      </x:c>
      <x:c r="G14" s="171"/>
      <x:c r="H14" s="171"/>
      <x:c r="I14" s="171"/>
      <x:c r="J14" s="171"/>
      <x:c r="K14" s="171"/>
      <x:c r="L14" s="171"/>
      <x:c r="M14" s="171"/>
      <x:c r="N14" s="171"/>
    </x:row>
    <x:row r="15">
      <x:c r="A15" s="171" t="str">
        <x:v>Debt</x:v>
      </x:c>
      <x:c r="B15" s="180" t="str">
        <x:f>IF('Debt Payoff'!B12=0,"Debt free","Balance remains")</x:f>
        <x:v>Balance remains</x:v>
      </x:c>
      <x:c r="C15" s="171" t="str">
        <x:v>Costly debt declining</x:v>
      </x:c>
      <x:c r="D15" s="171" t="str">
        <x:f>IF(B15="Debt free","Low","High")</x:f>
        <x:v>High</x:v>
      </x:c>
      <x:c r="E15" s="171" t="str">
        <x:v>Monthly</x:v>
      </x:c>
      <x:c r="F15" s="171" t="str">
        <x:v>Debt Payoff</x:v>
      </x:c>
      <x:c r="G15" s="171"/>
      <x:c r="H15" s="171"/>
      <x:c r="I15" s="171"/>
      <x:c r="J15" s="171"/>
      <x:c r="K15" s="171"/>
      <x:c r="L15" s="171"/>
      <x:c r="M15" s="171"/>
      <x:c r="N15" s="171"/>
    </x:row>
    <x:row r="16">
      <x:c r="A16" s="171" t="str">
        <x:v>Retirement</x:v>
      </x:c>
      <x:c r="B16" s="180" t="str">
        <x:f>IF('Retirement Plan'!E14=0,"On track","Increase needed")</x:f>
        <x:v>Increase needed</x:v>
      </x:c>
      <x:c r="C16" s="171" t="str">
        <x:v>Required contribution affordable</x:v>
      </x:c>
      <x:c r="D16" s="171" t="str">
        <x:f>IF(B16="On track","Low","High")</x:f>
        <x:v>High</x:v>
      </x:c>
      <x:c r="E16" s="171" t="str">
        <x:v>Quarterly</x:v>
      </x:c>
      <x:c r="F16" s="171" t="str">
        <x:v>Retirement Plan</x:v>
      </x:c>
      <x:c r="G16" s="171"/>
      <x:c r="H16" s="171"/>
      <x:c r="I16" s="171"/>
      <x:c r="J16" s="171"/>
      <x:c r="K16" s="171"/>
      <x:c r="L16" s="171"/>
      <x:c r="M16" s="171"/>
      <x:c r="N16" s="171"/>
    </x:row>
    <x:row r="17">
      <x:c r="A17" s="171" t="str">
        <x:v>Action plan</x:v>
      </x:c>
      <x:c r="B17" s="180" t="str">
        <x:f>IF('90 Day Plan'!B19&gt;=0.75,"Strong progress","Keep moving")</x:f>
        <x:v>Keep moving</x:v>
      </x:c>
      <x:c r="C17" s="171" t="str">
        <x:v>Top actions moving to complete</x:v>
      </x:c>
      <x:c r="D17" s="171" t="str">
        <x:f>IF(B17="Strong progress","Low","Medium")</x:f>
        <x:v>Medium</x:v>
      </x:c>
      <x:c r="E17" s="171" t="str">
        <x:v>Monthly</x:v>
      </x:c>
      <x:c r="F17" s="171" t="str">
        <x:v>90 Day Plan</x:v>
      </x:c>
      <x:c r="G17" s="171"/>
      <x:c r="H17" s="171"/>
      <x:c r="I17" s="171"/>
      <x:c r="J17" s="171"/>
      <x:c r="K17" s="171"/>
      <x:c r="L17" s="171"/>
      <x:c r="M17" s="171"/>
      <x:c r="N17" s="171"/>
    </x:row>
    <x:row r="18">
      <x:c r="A18" s="171"/>
      <x:c r="B18" s="171"/>
      <x:c r="C18" s="171"/>
      <x:c r="D18" s="171"/>
      <x:c r="E18" s="171"/>
      <x:c r="F18" s="171"/>
      <x:c r="G18" s="171"/>
      <x:c r="H18" s="171"/>
      <x:c r="I18" s="171"/>
      <x:c r="J18" s="171"/>
      <x:c r="K18" s="171"/>
      <x:c r="L18" s="171"/>
      <x:c r="M18" s="171"/>
      <x:c r="N18" s="171"/>
    </x:row>
    <x:row r="19">
      <x:c r="A19" s="171"/>
      <x:c r="B19" s="171"/>
      <x:c r="C19" s="171"/>
      <x:c r="D19" s="171"/>
      <x:c r="E19" s="171"/>
      <x:c r="F19" s="171"/>
      <x:c r="G19" s="171"/>
      <x:c r="H19" s="171"/>
      <x:c r="I19" s="171"/>
      <x:c r="J19" s="171"/>
      <x:c r="K19" s="171"/>
      <x:c r="L19" s="171"/>
      <x:c r="M19" s="171"/>
      <x:c r="N19" s="171"/>
    </x:row>
    <x:row r="20" ht="32" customHeight="1">
      <x:c r="A20" s="182" t="str">
        <x:v>Start with red or high-priority signals. Do not try to optimise every sheet at once. Use the 90 Day Plan to choose three concrete actions.</x:v>
      </x:c>
      <x:c r="B20" s="182" t="str">
        <x:v>Start with red or high-priority signals. Do not try to optimise every sheet at once. Use the 90 Day Plan to choose three concrete actions.</x:v>
      </x:c>
      <x:c r="C20" s="182" t="str">
        <x:v>Start with red or high-priority signals. Do not try to optimise every sheet at once. Use the 90 Day Plan to choose three concrete actions.</x:v>
      </x:c>
      <x:c r="D20" s="182" t="str">
        <x:v>Start with red or high-priority signals. Do not try to optimise every sheet at once. Use the 90 Day Plan to choose three concrete actions.</x:v>
      </x:c>
      <x:c r="E20" s="182" t="str">
        <x:v>Start with red or high-priority signals. Do not try to optimise every sheet at once. Use the 90 Day Plan to choose three concrete actions.</x:v>
      </x:c>
      <x:c r="F20" s="182" t="str">
        <x:v>Start with red or high-priority signals. Do not try to optimise every sheet at once. Use the 90 Day Plan to choose three concrete actions.</x:v>
      </x:c>
      <x:c r="G20" s="171"/>
      <x:c r="H20" s="171" t="str">
        <x:v>Asset class</x:v>
      </x:c>
      <x:c r="I20" s="171" t="str">
        <x:v>Current value</x:v>
      </x:c>
      <x:c r="J20" s="171"/>
      <x:c r="K20" s="171" t="str">
        <x:v>Goal</x:v>
      </x:c>
      <x:c r="L20" s="171" t="str">
        <x:v>Funding %</x:v>
      </x:c>
      <x:c r="M20" s="171"/>
      <x:c r="N20" s="171"/>
    </x:row>
    <x:row r="21" ht="32" customHeight="1">
      <x:c r="A21" s="182" t="str">
        <x:v>Start with red or high-priority signals. Do not try to optimise every sheet at once. Use the 90 Day Plan to choose three concrete actions.</x:v>
      </x:c>
      <x:c r="B21" s="182" t="str">
        <x:v>Start with red or high-priority signals. Do not try to optimise every sheet at once. Use the 90 Day Plan to choose three concrete actions.</x:v>
      </x:c>
      <x:c r="C21" s="182" t="str">
        <x:v>Start with red or high-priority signals. Do not try to optimise every sheet at once. Use the 90 Day Plan to choose three concrete actions.</x:v>
      </x:c>
      <x:c r="D21" s="182" t="str">
        <x:v>Start with red or high-priority signals. Do not try to optimise every sheet at once. Use the 90 Day Plan to choose three concrete actions.</x:v>
      </x:c>
      <x:c r="E21" s="182" t="str">
        <x:v>Start with red or high-priority signals. Do not try to optimise every sheet at once. Use the 90 Day Plan to choose three concrete actions.</x:v>
      </x:c>
      <x:c r="F21" s="182" t="str">
        <x:v>Start with red or high-priority signals. Do not try to optimise every sheet at once. Use the 90 Day Plan to choose three concrete actions.</x:v>
      </x:c>
      <x:c r="G21" s="171"/>
      <x:c r="H21" s="171" t="str">
        <x:v>Equity</x:v>
      </x:c>
      <x:c r="I21" s="189" t="n">
        <x:f>'Investment Allocation'!B5</x:f>
        <x:v>750000</x:v>
      </x:c>
      <x:c r="J21" s="171"/>
      <x:c r="K21" s="171" t="str">
        <x:v>Emergency reserve</x:v>
      </x:c>
      <x:c r="L21" s="190" t="n">
        <x:f>'Goals'!J5</x:f>
        <x:v>0.2222222222222222</x:v>
      </x:c>
      <x:c r="M21" s="171"/>
      <x:c r="N21" s="171"/>
    </x:row>
    <x:row r="22" ht="32" customHeight="1">
      <x:c r="A22" s="182" t="str">
        <x:v>Start with red or high-priority signals. Do not try to optimise every sheet at once. Use the 90 Day Plan to choose three concrete actions.</x:v>
      </x:c>
      <x:c r="B22" s="182" t="str">
        <x:v>Start with red or high-priority signals. Do not try to optimise every sheet at once. Use the 90 Day Plan to choose three concrete actions.</x:v>
      </x:c>
      <x:c r="C22" s="182" t="str">
        <x:v>Start with red or high-priority signals. Do not try to optimise every sheet at once. Use the 90 Day Plan to choose three concrete actions.</x:v>
      </x:c>
      <x:c r="D22" s="182" t="str">
        <x:v>Start with red or high-priority signals. Do not try to optimise every sheet at once. Use the 90 Day Plan to choose three concrete actions.</x:v>
      </x:c>
      <x:c r="E22" s="182" t="str">
        <x:v>Start with red or high-priority signals. Do not try to optimise every sheet at once. Use the 90 Day Plan to choose three concrete actions.</x:v>
      </x:c>
      <x:c r="F22" s="182" t="str">
        <x:v>Start with red or high-priority signals. Do not try to optimise every sheet at once. Use the 90 Day Plan to choose three concrete actions.</x:v>
      </x:c>
      <x:c r="G22" s="171"/>
      <x:c r="H22" s="171" t="str">
        <x:v>Debt / fixed income</x:v>
      </x:c>
      <x:c r="I22" s="189" t="n">
        <x:f>'Investment Allocation'!B6</x:f>
        <x:v>900000</x:v>
      </x:c>
      <x:c r="J22" s="171"/>
      <x:c r="K22" s="171" t="str">
        <x:v>Home deposit</x:v>
      </x:c>
      <x:c r="L22" s="190" t="n">
        <x:f>'Goals'!J6</x:f>
        <x:v>0.18395989204264335</x:v>
      </x:c>
      <x:c r="M22" s="171"/>
      <x:c r="N22" s="171"/>
    </x:row>
    <x:row r="23">
      <x:c r="A23" s="171"/>
      <x:c r="B23" s="171"/>
      <x:c r="C23" s="171"/>
      <x:c r="D23" s="171"/>
      <x:c r="E23" s="171"/>
      <x:c r="F23" s="171"/>
      <x:c r="G23" s="171"/>
      <x:c r="H23" s="171" t="str">
        <x:v>Cash</x:v>
      </x:c>
      <x:c r="I23" s="189" t="n">
        <x:f>'Investment Allocation'!B7</x:f>
        <x:v>250000</x:v>
      </x:c>
      <x:c r="J23" s="171"/>
      <x:c r="K23" s="171" t="str">
        <x:v>Education</x:v>
      </x:c>
      <x:c r="L23" s="190" t="n">
        <x:f>'Goals'!J7</x:f>
        <x:v>0.10385942407674287</x:v>
      </x:c>
      <x:c r="M23" s="171"/>
      <x:c r="N23" s="171"/>
    </x:row>
    <x:row r="24">
      <x:c r="A24" s="171"/>
      <x:c r="B24" s="171"/>
      <x:c r="C24" s="171"/>
      <x:c r="D24" s="171"/>
      <x:c r="E24" s="171"/>
      <x:c r="F24" s="171"/>
      <x:c r="G24" s="171"/>
      <x:c r="H24" s="171" t="str">
        <x:v>Gold</x:v>
      </x:c>
      <x:c r="I24" s="189" t="n">
        <x:f>'Investment Allocation'!B8</x:f>
        <x:v>200000</x:v>
      </x:c>
      <x:c r="J24" s="171"/>
      <x:c r="K24" s="171" t="str">
        <x:v>Travel</x:v>
      </x:c>
      <x:c r="L24" s="190" t="n">
        <x:f>'Goals'!J8</x:f>
        <x:v>0.10285697253437402</x:v>
      </x:c>
      <x:c r="M24" s="171"/>
      <x:c r="N24" s="171"/>
    </x:row>
    <x:row r="25">
      <x:c r="A25" s="171"/>
      <x:c r="B25" s="171"/>
      <x:c r="C25" s="171"/>
      <x:c r="D25" s="171"/>
      <x:c r="E25" s="171"/>
      <x:c r="F25" s="171"/>
      <x:c r="G25" s="171"/>
      <x:c r="H25" s="171" t="str">
        <x:v>Other</x:v>
      </x:c>
      <x:c r="I25" s="189" t="n">
        <x:f>'Investment Allocation'!B9</x:f>
        <x:v>0</x:v>
      </x:c>
      <x:c r="J25" s="171"/>
      <x:c r="K25" s="171" t="str">
        <x:v>Other</x:v>
      </x:c>
      <x:c r="L25" s="190" t="n">
        <x:f>'Goals'!J9</x:f>
        <x:v>0</x:v>
      </x:c>
      <x:c r="M25" s="171"/>
      <x:c r="N25" s="171"/>
    </x:row>
  </x:sheetData>
  <x:mergeCells>
    <x:mergeCell ref="A1:N1"/>
    <x:mergeCell ref="A2:N2"/>
    <x:mergeCell ref="A11:F11"/>
    <x:mergeCell ref="A20:F22"/>
  </x:mergeCells>
  <x:conditionalFormatting sqref="D13:D17">
    <x:cfRule type="containsText" dxfId="5" priority="1" operator="containsText" text="High"/>
  </x:conditionalFormatting>
  <x:pageMargins left="0.7" right="0.7" top="0.75" bottom="0.75" header="0.3" footer="0.3"/>
  <x:drawing xmlns:r="http://schemas.openxmlformats.org/officeDocument/2006/relationships" r:id="R71a78fe67a464d53"/>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22" hidden="0" customWidth="1"/>
    <x:col min="3" max="3" width="4" hidden="0" customWidth="1"/>
    <x:col min="4" max="4" width="31" hidden="0" customWidth="1"/>
    <x:col min="5" max="5" width="22" hidden="0" customWidth="1"/>
    <x:col min="6" max="6" width="22" hidden="0" customWidth="1"/>
  </x:cols>
  <x:sheetData>
    <x:row r="1" ht="36" customHeight="1">
      <x:c r="A1" s="4" t="str">
        <x:v>Profile &amp; Planning Assumptions</x:v>
      </x:c>
      <x:c r="B1" s="4" t="str">
        <x:v>Profile &amp; Planning Assumptions</x:v>
      </x:c>
      <x:c r="C1" s="4" t="str">
        <x:v>Profile &amp; Planning Assumptions</x:v>
      </x:c>
      <x:c r="D1" s="4" t="str">
        <x:v>Profile &amp; Planning Assumptions</x:v>
      </x:c>
      <x:c r="E1" s="4" t="str">
        <x:v>Profile &amp; Planning Assumptions</x:v>
      </x:c>
      <x:c r="F1" s="4" t="str">
        <x:v>Profile &amp; Planning Assumptions</x:v>
      </x:c>
    </x:row>
    <x:row r="2" ht="27" customHeight="1">
      <x:c r="A2" s="170" t="str">
        <x:v>Enter the household facts and assumptions used across the planner. Review at least annually.</x:v>
      </x:c>
      <x:c r="B2" s="170" t="str">
        <x:v>Enter the household facts and assumptions used across the planner. Review at least annually.</x:v>
      </x:c>
      <x:c r="C2" s="170" t="str">
        <x:v>Enter the household facts and assumptions used across the planner. Review at least annually.</x:v>
      </x:c>
      <x:c r="D2" s="170" t="str">
        <x:v>Enter the household facts and assumptions used across the planner. Review at least annually.</x:v>
      </x:c>
      <x:c r="E2" s="170" t="str">
        <x:v>Enter the household facts and assumptions used across the planner. Review at least annually.</x:v>
      </x:c>
      <x:c r="F2" s="170" t="str">
        <x:v>Enter the household facts and assumptions used across the planner. Review at least annually.</x:v>
      </x:c>
    </x:row>
    <x:row r="3">
      <x:c r="A3" s="171"/>
      <x:c r="B3" s="171"/>
      <x:c r="C3" s="171"/>
      <x:c r="D3" s="171"/>
      <x:c r="E3" s="171"/>
      <x:c r="F3" s="171"/>
    </x:row>
    <x:row r="4" ht="23" customHeight="1">
      <x:c r="A4" s="16" t="str">
        <x:v>Household profile</x:v>
      </x:c>
      <x:c r="B4" s="16" t="str">
        <x:v>Household profile</x:v>
      </x:c>
      <x:c r="C4" s="171"/>
      <x:c r="D4" s="16" t="str">
        <x:v>Planning assumptions</x:v>
      </x:c>
      <x:c r="E4" s="16" t="str">
        <x:v>Planning assumptions</x:v>
      </x:c>
      <x:c r="F4" s="171"/>
    </x:row>
    <x:row r="5">
      <x:c r="A5" s="171" t="str">
        <x:v>Plan owner</x:v>
      </x:c>
      <x:c r="B5" s="191" t="str">
        <x:v>Your name</x:v>
      </x:c>
      <x:c r="C5" s="171"/>
      <x:c r="D5" s="171" t="str">
        <x:v>General inflation</x:v>
      </x:c>
      <x:c r="E5" s="192" t="n">
        <x:v>0.06</x:v>
      </x:c>
      <x:c r="F5" s="171"/>
    </x:row>
    <x:row r="6">
      <x:c r="A6" s="171" t="str">
        <x:v>Plan date</x:v>
      </x:c>
      <x:c r="B6" s="193" t="n">
        <x:v>46237</x:v>
      </x:c>
      <x:c r="C6" s="171"/>
      <x:c r="D6" s="171" t="str">
        <x:v>Education inflation</x:v>
      </x:c>
      <x:c r="E6" s="194" t="n">
        <x:v>0.08</x:v>
      </x:c>
      <x:c r="F6" s="171"/>
    </x:row>
    <x:row r="7">
      <x:c r="A7" s="171" t="str">
        <x:v>City</x:v>
      </x:c>
      <x:c r="B7" s="195" t="str">
        <x:v>Your city</x:v>
      </x:c>
      <x:c r="C7" s="171"/>
      <x:c r="D7" s="171" t="str">
        <x:v>Pre-retirement return</x:v>
      </x:c>
      <x:c r="E7" s="194" t="n">
        <x:v>0.1</x:v>
      </x:c>
      <x:c r="F7" s="171"/>
    </x:row>
    <x:row r="8">
      <x:c r="A8" s="171" t="str">
        <x:v>Household adults</x:v>
      </x:c>
      <x:c r="B8" s="196" t="n">
        <x:v>2</x:v>
      </x:c>
      <x:c r="C8" s="171"/>
      <x:c r="D8" s="171" t="str">
        <x:v>Post-retirement return</x:v>
      </x:c>
      <x:c r="E8" s="194" t="n">
        <x:v>0.07</x:v>
      </x:c>
      <x:c r="F8" s="171"/>
    </x:row>
    <x:row r="9">
      <x:c r="A9" s="171" t="str">
        <x:v>Dependants</x:v>
      </x:c>
      <x:c r="B9" s="196" t="n">
        <x:v>1</x:v>
      </x:c>
      <x:c r="C9" s="171"/>
      <x:c r="D9" s="171" t="str">
        <x:v>Emergency fund months</x:v>
      </x:c>
      <x:c r="E9" s="196" t="n">
        <x:v>6</x:v>
      </x:c>
      <x:c r="F9" s="171"/>
    </x:row>
    <x:row r="10">
      <x:c r="A10" s="171" t="str">
        <x:v>Primary income type</x:v>
      </x:c>
      <x:c r="B10" s="195" t="str">
        <x:v>Salaried</x:v>
      </x:c>
      <x:c r="C10" s="171"/>
      <x:c r="D10" s="171" t="str">
        <x:v>Retirement age</x:v>
      </x:c>
      <x:c r="E10" s="196" t="n">
        <x:v>60</x:v>
      </x:c>
      <x:c r="F10" s="171"/>
    </x:row>
    <x:row r="11">
      <x:c r="A11" s="171" t="str">
        <x:v>Financial year</x:v>
      </x:c>
      <x:c r="B11" s="195" t="str">
        <x:v>FY 2026-27</x:v>
      </x:c>
      <x:c r="C11" s="171"/>
      <x:c r="D11" s="171" t="str">
        <x:v>Life expectancy</x:v>
      </x:c>
      <x:c r="E11" s="196" t="n">
        <x:v>85</x:v>
      </x:c>
      <x:c r="F11" s="171"/>
    </x:row>
    <x:row r="12">
      <x:c r="A12" s="171" t="str">
        <x:v>Review frequency</x:v>
      </x:c>
      <x:c r="B12" s="197" t="str">
        <x:v>Quarterly</x:v>
      </x:c>
      <x:c r="C12" s="171"/>
      <x:c r="D12" s="171" t="str">
        <x:v>Tax rate for planning</x:v>
      </x:c>
      <x:c r="E12" s="198" t="n">
        <x:v>0.2</x:v>
      </x:c>
      <x:c r="F12" s="171"/>
    </x:row>
    <x:row r="13">
      <x:c r="A13" s="171"/>
      <x:c r="B13" s="171"/>
      <x:c r="C13" s="171"/>
      <x:c r="D13" s="171"/>
      <x:c r="E13" s="171"/>
      <x:c r="F13" s="171"/>
    </x:row>
    <x:row r="14">
      <x:c r="A14" s="171"/>
      <x:c r="B14" s="171"/>
      <x:c r="C14" s="171"/>
      <x:c r="D14" s="171"/>
      <x:c r="E14" s="171"/>
      <x:c r="F14" s="171"/>
    </x:row>
    <x:row r="15" ht="23" customHeight="1">
      <x:c r="A15" s="16" t="str">
        <x:v>Household priorities</x:v>
      </x:c>
      <x:c r="B15" s="16" t="str">
        <x:v>Household priorities</x:v>
      </x:c>
      <x:c r="C15" s="16" t="str">
        <x:v>Household priorities</x:v>
      </x:c>
      <x:c r="D15" s="16" t="str">
        <x:v>Household priorities</x:v>
      </x:c>
      <x:c r="E15" s="16" t="str">
        <x:v>Household priorities</x:v>
      </x:c>
      <x:c r="F15" s="16" t="str">
        <x:v>Household priorities</x:v>
      </x:c>
    </x:row>
    <x:row r="16" ht="25" customHeight="1">
      <x:c r="A16" s="21" t="str">
        <x:v>Priority</x:v>
      </x:c>
      <x:c r="B16" s="21" t="str">
        <x:v>Goal / concern</x:v>
      </x:c>
      <x:c r="C16" s="21" t="str">
        <x:v>Time horizon</x:v>
      </x:c>
      <x:c r="D16" s="21" t="str">
        <x:v>Importance</x:v>
      </x:c>
      <x:c r="E16" s="21" t="str">
        <x:v>First action</x:v>
      </x:c>
      <x:c r="F16" s="21" t="str">
        <x:v>Notes</x:v>
      </x:c>
    </x:row>
    <x:row r="17">
      <x:c r="A17" s="199" t="n">
        <x:v>1</x:v>
      </x:c>
      <x:c r="B17" s="200" t="str">
        <x:v>Build emergency fund</x:v>
      </x:c>
      <x:c r="C17" s="200" t="str">
        <x:v>0-1 year</x:v>
      </x:c>
      <x:c r="D17" s="200" t="str">
        <x:v>High</x:v>
      </x:c>
      <x:c r="E17" s="200" t="str">
        <x:v>Set monthly transfer</x:v>
      </x:c>
      <x:c r="F17" s="201" t="str"/>
    </x:row>
    <x:row r="18">
      <x:c r="A18" s="202" t="n">
        <x:v>2</x:v>
      </x:c>
      <x:c r="B18" s="203" t="str">
        <x:v>Reduce costly debt</x:v>
      </x:c>
      <x:c r="C18" s="203" t="str">
        <x:v>0-2 years</x:v>
      </x:c>
      <x:c r="D18" s="203" t="str">
        <x:v>High</x:v>
      </x:c>
      <x:c r="E18" s="203" t="str">
        <x:v>Choose avalanche or snowball</x:v>
      </x:c>
      <x:c r="F18" s="204" t="str"/>
    </x:row>
    <x:row r="19">
      <x:c r="A19" s="202" t="n">
        <x:v>3</x:v>
      </x:c>
      <x:c r="B19" s="203" t="str">
        <x:v>Retirement readiness</x:v>
      </x:c>
      <x:c r="C19" s="203" t="str">
        <x:v>10+ years</x:v>
      </x:c>
      <x:c r="D19" s="203" t="str">
        <x:v>High</x:v>
      </x:c>
      <x:c r="E19" s="203" t="str">
        <x:v>Review monthly contribution</x:v>
      </x:c>
      <x:c r="F19" s="204" t="str"/>
    </x:row>
    <x:row r="20">
      <x:c r="A20" s="202" t="n">
        <x:v>4</x:v>
      </x:c>
      <x:c r="B20" s="203" t="str"/>
      <x:c r="C20" s="203" t="str"/>
      <x:c r="D20" s="203" t="str">
        <x:v>Medium</x:v>
      </x:c>
      <x:c r="E20" s="203" t="str"/>
      <x:c r="F20" s="204" t="str"/>
    </x:row>
    <x:row r="21">
      <x:c r="A21" s="205" t="n">
        <x:v>5</x:v>
      </x:c>
      <x:c r="B21" s="206" t="str"/>
      <x:c r="C21" s="206" t="str"/>
      <x:c r="D21" s="206" t="str">
        <x:v>Medium</x:v>
      </x:c>
      <x:c r="E21" s="206" t="str"/>
      <x:c r="F21" s="207" t="str"/>
    </x:row>
    <x:row r="22">
      <x:c r="A22" s="171"/>
      <x:c r="B22" s="171"/>
      <x:c r="C22" s="171"/>
      <x:c r="D22" s="171"/>
      <x:c r="E22" s="171"/>
      <x:c r="F22" s="171"/>
    </x:row>
    <x:row r="23">
      <x:c r="A23" s="171"/>
      <x:c r="B23" s="171"/>
      <x:c r="C23" s="171"/>
      <x:c r="D23" s="171"/>
      <x:c r="E23" s="171"/>
      <x:c r="F23" s="171"/>
    </x:row>
    <x:row r="24" ht="32" customHeight="1">
      <x:c r="A24" s="182" t="str">
        <x:v>Assumptions are not forecasts. Use conservative values, stress-test important goals, and update actual balances regularly.</x:v>
      </x:c>
      <x:c r="B24" s="182" t="str">
        <x:v>Assumptions are not forecasts. Use conservative values, stress-test important goals, and update actual balances regularly.</x:v>
      </x:c>
      <x:c r="C24" s="182" t="str">
        <x:v>Assumptions are not forecasts. Use conservative values, stress-test important goals, and update actual balances regularly.</x:v>
      </x:c>
      <x:c r="D24" s="182" t="str">
        <x:v>Assumptions are not forecasts. Use conservative values, stress-test important goals, and update actual balances regularly.</x:v>
      </x:c>
      <x:c r="E24" s="182" t="str">
        <x:v>Assumptions are not forecasts. Use conservative values, stress-test important goals, and update actual balances regularly.</x:v>
      </x:c>
      <x:c r="F24" s="182" t="str">
        <x:v>Assumptions are not forecasts. Use conservative values, stress-test important goals, and update actual balances regularly.</x:v>
      </x:c>
    </x:row>
    <x:row r="25" ht="32" customHeight="1">
      <x:c r="A25" s="182" t="str">
        <x:v>Assumptions are not forecasts. Use conservative values, stress-test important goals, and update actual balances regularly.</x:v>
      </x:c>
      <x:c r="B25" s="182" t="str">
        <x:v>Assumptions are not forecasts. Use conservative values, stress-test important goals, and update actual balances regularly.</x:v>
      </x:c>
      <x:c r="C25" s="182" t="str">
        <x:v>Assumptions are not forecasts. Use conservative values, stress-test important goals, and update actual balances regularly.</x:v>
      </x:c>
      <x:c r="D25" s="182" t="str">
        <x:v>Assumptions are not forecasts. Use conservative values, stress-test important goals, and update actual balances regularly.</x:v>
      </x:c>
      <x:c r="E25" s="182" t="str">
        <x:v>Assumptions are not forecasts. Use conservative values, stress-test important goals, and update actual balances regularly.</x:v>
      </x:c>
      <x:c r="F25" s="182" t="str">
        <x:v>Assumptions are not forecasts. Use conservative values, stress-test important goals, and update actual balances regularly.</x:v>
      </x:c>
    </x:row>
  </x:sheetData>
  <x:mergeCells>
    <x:mergeCell ref="A1:F1"/>
    <x:mergeCell ref="A2:F2"/>
    <x:mergeCell ref="A4:B4"/>
    <x:mergeCell ref="D4:E4"/>
    <x:mergeCell ref="A15:F15"/>
    <x:mergeCell ref="A24:F25"/>
  </x:mergeCells>
  <x:dataValidations count="3">
    <x:dataValidation type="list" sqref="B10">
      <x:formula1>"Salaried,Self-employed,Business,Multiple sources,Retired"</x:formula1>
    </x:dataValidation>
    <x:dataValidation type="list" sqref="B12">
      <x:formula1>"Monthly,Quarterly,Half-yearly,Yearly"</x:formula1>
    </x:dataValidation>
    <x:dataValidation type="list" sqref="D17:D21">
      <x:formula1>"High,Medium,Low"</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4" hidden="0" customWidth="1"/>
    <x:col min="7" max="7" width="25" hidden="0" customWidth="1"/>
    <x:col min="8" max="8" width="20" hidden="0" customWidth="1"/>
  </x:cols>
  <x:sheetData>
    <x:row r="1" ht="36" customHeight="1">
      <x:c r="A1" s="4" t="str">
        <x:v>Monthly Budget &amp; Spending Plan</x:v>
      </x:c>
      <x:c r="B1" s="4" t="str">
        <x:v>Monthly Budget &amp; Spending Plan</x:v>
      </x:c>
      <x:c r="C1" s="4" t="str">
        <x:v>Monthly Budget &amp; Spending Plan</x:v>
      </x:c>
      <x:c r="D1" s="4" t="str">
        <x:v>Monthly Budget &amp; Spending Plan</x:v>
      </x:c>
      <x:c r="E1" s="4" t="str">
        <x:v>Monthly Budget &amp; Spending Plan</x:v>
      </x:c>
      <x:c r="F1" s="4" t="str">
        <x:v>Monthly Budget &amp; Spending Plan</x:v>
      </x:c>
      <x:c r="G1" s="4" t="str">
        <x:v>Monthly Budget &amp; Spending Plan</x:v>
      </x:c>
      <x:c r="H1" s="4" t="str">
        <x:v>Monthly Budget &amp; Spending Plan</x:v>
      </x:c>
    </x:row>
    <x:row r="2" ht="27" customHeight="1">
      <x:c r="A2" s="170" t="str">
        <x:v>Enter planned and actual monthly amounts. Variance is planned minus actual.</x:v>
      </x:c>
      <x:c r="B2" s="170" t="str">
        <x:v>Enter planned and actual monthly amounts. Variance is planned minus actual.</x:v>
      </x:c>
      <x:c r="C2" s="170" t="str">
        <x:v>Enter planned and actual monthly amounts. Variance is planned minus actual.</x:v>
      </x:c>
      <x:c r="D2" s="170" t="str">
        <x:v>Enter planned and actual monthly amounts. Variance is planned minus actual.</x:v>
      </x:c>
      <x:c r="E2" s="170" t="str">
        <x:v>Enter planned and actual monthly amounts. Variance is planned minus actual.</x:v>
      </x:c>
      <x:c r="F2" s="170" t="str">
        <x:v>Enter planned and actual monthly amounts. Variance is planned minus actual.</x:v>
      </x:c>
      <x:c r="G2" s="170" t="str">
        <x:v>Enter planned and actual monthly amounts. Variance is planned minus actual.</x:v>
      </x:c>
      <x:c r="H2" s="170" t="str">
        <x:v>Enter planned and actual monthly amounts. Variance is planned minus actual.</x:v>
      </x:c>
    </x:row>
    <x:row r="3">
      <x:c r="A3" s="171"/>
      <x:c r="B3" s="171"/>
      <x:c r="C3" s="171"/>
      <x:c r="D3" s="171"/>
      <x:c r="E3" s="171"/>
      <x:c r="F3" s="171"/>
      <x:c r="G3" s="171"/>
      <x:c r="H3" s="171"/>
    </x:row>
    <x:row r="4" ht="25" customHeight="1">
      <x:c r="A4" s="21" t="str">
        <x:v>Month</x:v>
      </x:c>
      <x:c r="B4" s="21" t="str">
        <x:v>Income</x:v>
      </x:c>
      <x:c r="C4" s="21" t="str">
        <x:v>Spending</x:v>
      </x:c>
      <x:c r="D4" s="21" t="str">
        <x:v>Surplus / deficit</x:v>
      </x:c>
      <x:c r="E4" s="21" t="str">
        <x:v>Savings rate</x:v>
      </x:c>
      <x:c r="F4" s="171"/>
      <x:c r="G4" s="171"/>
      <x:c r="H4" s="171"/>
    </x:row>
    <x:row r="5">
      <x:c r="A5" s="208" t="str">
        <x:v>Aug 2026</x:v>
      </x:c>
      <x:c r="B5" s="209" t="n">
        <x:f>SUM(B9:B13)</x:f>
        <x:v>135000</x:v>
      </x:c>
      <x:c r="C5" s="210" t="n">
        <x:f>C34</x:f>
        <x:v>104500</x:v>
      </x:c>
      <x:c r="D5" s="211" t="n">
        <x:f>B5-C5</x:f>
        <x:v>30500</x:v>
      </x:c>
      <x:c r="E5" s="212" t="n">
        <x:f>IF(B5=0,0,D5/B5)</x:f>
        <x:v>0.22592592592592592</x:v>
      </x:c>
      <x:c r="F5" s="171"/>
      <x:c r="G5" s="171"/>
      <x:c r="H5" s="171"/>
    </x:row>
    <x:row r="6">
      <x:c r="A6" s="171"/>
      <x:c r="B6" s="171"/>
      <x:c r="C6" s="171"/>
      <x:c r="D6" s="171"/>
      <x:c r="E6" s="171"/>
      <x:c r="F6" s="171"/>
      <x:c r="G6" s="171"/>
      <x:c r="H6" s="171"/>
    </x:row>
    <x:row r="7" ht="23" customHeight="1">
      <x:c r="A7" s="16" t="str">
        <x:v>Income</x:v>
      </x:c>
      <x:c r="B7" s="16" t="str">
        <x:v>Income</x:v>
      </x:c>
      <x:c r="C7" s="16" t="str">
        <x:v>Income</x:v>
      </x:c>
      <x:c r="D7" s="171"/>
      <x:c r="E7" s="171"/>
      <x:c r="F7" s="171"/>
      <x:c r="G7" s="16" t="str">
        <x:v>Quick interpretation</x:v>
      </x:c>
      <x:c r="H7" s="16" t="str">
        <x:v>Quick interpretation</x:v>
      </x:c>
    </x:row>
    <x:row r="8" ht="25" customHeight="1">
      <x:c r="A8" s="21" t="str">
        <x:v>Source</x:v>
      </x:c>
      <x:c r="B8" s="21" t="str">
        <x:v>Actual (₹)</x:v>
      </x:c>
      <x:c r="C8" s="21" t="str">
        <x:v>Notes</x:v>
      </x:c>
      <x:c r="D8" s="171"/>
      <x:c r="E8" s="171"/>
      <x:c r="F8" s="171"/>
      <x:c r="G8" s="21" t="str">
        <x:v>Metric</x:v>
      </x:c>
      <x:c r="H8" s="21" t="str">
        <x:v>Result</x:v>
      </x:c>
    </x:row>
    <x:row r="9">
      <x:c r="A9" s="171" t="str">
        <x:v>Salary / business income</x:v>
      </x:c>
      <x:c r="B9" s="213" t="n">
        <x:v>120000</x:v>
      </x:c>
      <x:c r="C9" s="201" t="str">
        <x:v>After tax</x:v>
      </x:c>
      <x:c r="D9" s="171"/>
      <x:c r="E9" s="171"/>
      <x:c r="F9" s="171"/>
      <x:c r="G9" s="171" t="str">
        <x:v>Needs (approx.)</x:v>
      </x:c>
      <x:c r="H9" s="189" t="n">
        <x:f>SUM(C18:C25)</x:f>
        <x:v>58500</x:v>
      </x:c>
    </x:row>
    <x:row r="10">
      <x:c r="A10" s="171" t="str">
        <x:v>Other household income</x:v>
      </x:c>
      <x:c r="B10" s="214" t="n">
        <x:v>15000</x:v>
      </x:c>
      <x:c r="C10" s="204" t="str"/>
      <x:c r="D10" s="171"/>
      <x:c r="E10" s="171"/>
      <x:c r="F10" s="171"/>
      <x:c r="G10" s="171" t="str">
        <x:v>Investing / saving</x:v>
      </x:c>
      <x:c r="H10" s="189" t="n">
        <x:f>C26</x:f>
        <x:v>25000</x:v>
      </x:c>
    </x:row>
    <x:row r="11">
      <x:c r="A11" s="171" t="str">
        <x:v>Rental income</x:v>
      </x:c>
      <x:c r="B11" s="214" t="n">
        <x:v>0</x:v>
      </x:c>
      <x:c r="C11" s="204" t="str"/>
      <x:c r="D11" s="171"/>
      <x:c r="E11" s="171"/>
      <x:c r="F11" s="171"/>
      <x:c r="G11" s="171" t="str">
        <x:v>Lifestyle / other</x:v>
      </x:c>
      <x:c r="H11" s="189" t="n">
        <x:f>SUM(C27:C33)</x:f>
        <x:v>21000</x:v>
      </x:c>
    </x:row>
    <x:row r="12">
      <x:c r="A12" s="171" t="str">
        <x:v>Interest / dividends</x:v>
      </x:c>
      <x:c r="B12" s="214" t="n">
        <x:v>0</x:v>
      </x:c>
      <x:c r="C12" s="204" t="str"/>
      <x:c r="D12" s="171"/>
      <x:c r="E12" s="171"/>
      <x:c r="F12" s="171"/>
      <x:c r="G12" s="171" t="str">
        <x:v>Unallocated cash</x:v>
      </x:c>
      <x:c r="H12" s="189" t="n">
        <x:f>D5</x:f>
        <x:v>30500</x:v>
      </x:c>
    </x:row>
    <x:row r="13">
      <x:c r="A13" s="171" t="str">
        <x:v>Other income</x:v>
      </x:c>
      <x:c r="B13" s="215" t="n">
        <x:v>0</x:v>
      </x:c>
      <x:c r="C13" s="207" t="str"/>
      <x:c r="D13" s="171"/>
      <x:c r="E13" s="171"/>
      <x:c r="F13" s="171"/>
      <x:c r="G13" s="171"/>
      <x:c r="H13" s="171"/>
    </x:row>
    <x:row r="14">
      <x:c r="A14" s="171"/>
      <x:c r="B14" s="171"/>
      <x:c r="C14" s="171"/>
      <x:c r="D14" s="171"/>
      <x:c r="E14" s="171"/>
      <x:c r="F14" s="171"/>
      <x:c r="G14" s="171"/>
      <x:c r="H14" s="171"/>
    </x:row>
    <x:row r="15" ht="32" customHeight="1">
      <x:c r="A15" s="171"/>
      <x:c r="B15" s="171"/>
      <x:c r="C15" s="171"/>
      <x:c r="D15" s="171"/>
      <x:c r="E15" s="171"/>
      <x:c r="F15" s="171"/>
      <x:c r="G15" s="182" t="str">
        <x:v>Use one representative month first. Later, replace it with a three-month average so annual decisions are not based on an unusual month.</x:v>
      </x:c>
      <x:c r="H15" s="182" t="str">
        <x:v>Use one representative month first. Later, replace it with a three-month average so annual decisions are not based on an unusual month.</x:v>
      </x:c>
    </x:row>
    <x:row r="16" ht="32" customHeight="1">
      <x:c r="A16" s="16" t="str">
        <x:v>Spending plan</x:v>
      </x:c>
      <x:c r="B16" s="16" t="str">
        <x:v>Spending plan</x:v>
      </x:c>
      <x:c r="C16" s="16" t="str">
        <x:v>Spending plan</x:v>
      </x:c>
      <x:c r="D16" s="16" t="str">
        <x:v>Spending plan</x:v>
      </x:c>
      <x:c r="E16" s="16" t="str">
        <x:v>Spending plan</x:v>
      </x:c>
      <x:c r="F16" s="171"/>
      <x:c r="G16" s="182" t="str">
        <x:v>Use one representative month first. Later, replace it with a three-month average so annual decisions are not based on an unusual month.</x:v>
      </x:c>
      <x:c r="H16" s="182" t="str">
        <x:v>Use one representative month first. Later, replace it with a three-month average so annual decisions are not based on an unusual month.</x:v>
      </x:c>
    </x:row>
    <x:row r="17" ht="32" customHeight="1">
      <x:c r="A17" s="21" t="str">
        <x:v>Category</x:v>
      </x:c>
      <x:c r="B17" s="21" t="str">
        <x:v>Planned (₹)</x:v>
      </x:c>
      <x:c r="C17" s="21" t="str">
        <x:v>Actual (₹)</x:v>
      </x:c>
      <x:c r="D17" s="21" t="str">
        <x:v>Variance (₹)</x:v>
      </x:c>
      <x:c r="E17" s="21" t="str">
        <x:v>Status</x:v>
      </x:c>
      <x:c r="F17" s="171"/>
      <x:c r="G17" s="182" t="str">
        <x:v>Use one representative month first. Later, replace it with a three-month average so annual decisions are not based on an unusual month.</x:v>
      </x:c>
      <x:c r="H17" s="182" t="str">
        <x:v>Use one representative month first. Later, replace it with a three-month average so annual decisions are not based on an unusual month.</x:v>
      </x:c>
    </x:row>
    <x:row r="18">
      <x:c r="A18" s="171" t="str">
        <x:v>Housing</x:v>
      </x:c>
      <x:c r="B18" s="213" t="n">
        <x:v>28000</x:v>
      </x:c>
      <x:c r="C18" s="216" t="n">
        <x:v>28000</x:v>
      </x:c>
      <x:c r="D18" s="189" t="n">
        <x:f>B18-C18</x:f>
        <x:v>0</x:v>
      </x:c>
      <x:c r="E18" s="171" t="str">
        <x:f>IF(D18&gt;=0,"On track","Over")</x:f>
        <x:v>On track</x:v>
      </x:c>
      <x:c r="F18" s="171"/>
      <x:c r="G18" s="171"/>
      <x:c r="H18" s="171"/>
    </x:row>
    <x:row r="19">
      <x:c r="A19" s="171" t="str">
        <x:v>Utilities</x:v>
      </x:c>
      <x:c r="B19" s="214" t="n">
        <x:v>3000</x:v>
      </x:c>
      <x:c r="C19" s="217" t="n">
        <x:v>3000</x:v>
      </x:c>
      <x:c r="D19" s="189" t="n">
        <x:f>B19-C19</x:f>
        <x:v>0</x:v>
      </x:c>
      <x:c r="E19" s="171" t="str">
        <x:f>IF(D19&gt;=0,"On track","Over")</x:f>
        <x:v>On track</x:v>
      </x:c>
      <x:c r="F19" s="171"/>
      <x:c r="G19" s="171"/>
      <x:c r="H19" s="171"/>
    </x:row>
    <x:row r="20">
      <x:c r="A20" s="171" t="str">
        <x:v>Groceries</x:v>
      </x:c>
      <x:c r="B20" s="214" t="n">
        <x:v>12000</x:v>
      </x:c>
      <x:c r="C20" s="217" t="n">
        <x:v>12500</x:v>
      </x:c>
      <x:c r="D20" s="189" t="n">
        <x:f>B20-C20</x:f>
        <x:v>-500</x:v>
      </x:c>
      <x:c r="E20" s="171" t="str">
        <x:f>IF(D20&gt;=0,"On track","Over")</x:f>
        <x:v>Over</x:v>
      </x:c>
      <x:c r="F20" s="171"/>
      <x:c r="G20" s="171"/>
      <x:c r="H20" s="171"/>
    </x:row>
    <x:row r="21">
      <x:c r="A21" s="171" t="str">
        <x:v>Transport</x:v>
      </x:c>
      <x:c r="B21" s="214" t="n">
        <x:v>3000</x:v>
      </x:c>
      <x:c r="C21" s="217" t="n">
        <x:v>3000</x:v>
      </x:c>
      <x:c r="D21" s="189" t="n">
        <x:f>B21-C21</x:f>
        <x:v>0</x:v>
      </x:c>
      <x:c r="E21" s="171" t="str">
        <x:f>IF(D21&gt;=0,"On track","Over")</x:f>
        <x:v>On track</x:v>
      </x:c>
      <x:c r="F21" s="171"/>
      <x:c r="G21" s="171"/>
      <x:c r="H21" s="171"/>
    </x:row>
    <x:row r="22">
      <x:c r="A22" s="171" t="str">
        <x:v>Healthcare</x:v>
      </x:c>
      <x:c r="B22" s="214" t="n">
        <x:v>3000</x:v>
      </x:c>
      <x:c r="C22" s="217" t="n">
        <x:v>3000</x:v>
      </x:c>
      <x:c r="D22" s="189" t="n">
        <x:f>B22-C22</x:f>
        <x:v>0</x:v>
      </x:c>
      <x:c r="E22" s="171" t="str">
        <x:f>IF(D22&gt;=0,"On track","Over")</x:f>
        <x:v>On track</x:v>
      </x:c>
      <x:c r="F22" s="171"/>
      <x:c r="G22" s="171"/>
      <x:c r="H22" s="171"/>
    </x:row>
    <x:row r="23">
      <x:c r="A23" s="171" t="str">
        <x:v>Insurance</x:v>
      </x:c>
      <x:c r="B23" s="214" t="n">
        <x:v>3000</x:v>
      </x:c>
      <x:c r="C23" s="217" t="n">
        <x:v>3000</x:v>
      </x:c>
      <x:c r="D23" s="189" t="n">
        <x:f>B23-C23</x:f>
        <x:v>0</x:v>
      </x:c>
      <x:c r="E23" s="171" t="str">
        <x:f>IF(D23&gt;=0,"On track","Over")</x:f>
        <x:v>On track</x:v>
      </x:c>
      <x:c r="F23" s="171"/>
      <x:c r="G23" s="171"/>
      <x:c r="H23" s="171"/>
    </x:row>
    <x:row r="24">
      <x:c r="A24" s="171" t="str">
        <x:v>Education / childcare</x:v>
      </x:c>
      <x:c r="B24" s="214" t="n">
        <x:v>3000</x:v>
      </x:c>
      <x:c r="C24" s="217" t="n">
        <x:v>3000</x:v>
      </x:c>
      <x:c r="D24" s="189" t="n">
        <x:f>B24-C24</x:f>
        <x:v>0</x:v>
      </x:c>
      <x:c r="E24" s="171" t="str">
        <x:f>IF(D24&gt;=0,"On track","Over")</x:f>
        <x:v>On track</x:v>
      </x:c>
      <x:c r="F24" s="171"/>
      <x:c r="G24" s="171"/>
      <x:c r="H24" s="171"/>
    </x:row>
    <x:row r="25">
      <x:c r="A25" s="171" t="str">
        <x:v>Debt payments</x:v>
      </x:c>
      <x:c r="B25" s="214" t="n">
        <x:v>3000</x:v>
      </x:c>
      <x:c r="C25" s="217" t="n">
        <x:v>3000</x:v>
      </x:c>
      <x:c r="D25" s="189" t="n">
        <x:f>B25-C25</x:f>
        <x:v>0</x:v>
      </x:c>
      <x:c r="E25" s="171" t="str">
        <x:f>IF(D25&gt;=0,"On track","Over")</x:f>
        <x:v>On track</x:v>
      </x:c>
      <x:c r="F25" s="171"/>
      <x:c r="G25" s="171"/>
      <x:c r="H25" s="171"/>
    </x:row>
    <x:row r="26">
      <x:c r="A26" s="171" t="str">
        <x:v>Investments</x:v>
      </x:c>
      <x:c r="B26" s="214" t="n">
        <x:v>25000</x:v>
      </x:c>
      <x:c r="C26" s="217" t="n">
        <x:v>25000</x:v>
      </x:c>
      <x:c r="D26" s="189" t="n">
        <x:f>B26-C26</x:f>
        <x:v>0</x:v>
      </x:c>
      <x:c r="E26" s="171" t="str">
        <x:f>IF(D26&gt;=0,"On track","Over")</x:f>
        <x:v>On track</x:v>
      </x:c>
      <x:c r="F26" s="171"/>
      <x:c r="G26" s="171"/>
      <x:c r="H26" s="171"/>
    </x:row>
    <x:row r="27">
      <x:c r="A27" s="171" t="str">
        <x:v>Personal care</x:v>
      </x:c>
      <x:c r="B27" s="214" t="n">
        <x:v>3000</x:v>
      </x:c>
      <x:c r="C27" s="217" t="n">
        <x:v>3000</x:v>
      </x:c>
      <x:c r="D27" s="189" t="n">
        <x:f>B27-C27</x:f>
        <x:v>0</x:v>
      </x:c>
      <x:c r="E27" s="171" t="str">
        <x:f>IF(D27&gt;=0,"On track","Over")</x:f>
        <x:v>On track</x:v>
      </x:c>
      <x:c r="F27" s="171"/>
      <x:c r="G27" s="171"/>
      <x:c r="H27" s="171"/>
    </x:row>
    <x:row r="28">
      <x:c r="A28" s="171" t="str">
        <x:v>Eating out</x:v>
      </x:c>
      <x:c r="B28" s="214" t="n">
        <x:v>3000</x:v>
      </x:c>
      <x:c r="C28" s="217" t="n">
        <x:v>3000</x:v>
      </x:c>
      <x:c r="D28" s="189" t="n">
        <x:f>B28-C28</x:f>
        <x:v>0</x:v>
      </x:c>
      <x:c r="E28" s="171" t="str">
        <x:f>IF(D28&gt;=0,"On track","Over")</x:f>
        <x:v>On track</x:v>
      </x:c>
      <x:c r="F28" s="171"/>
      <x:c r="G28" s="171"/>
      <x:c r="H28" s="171"/>
    </x:row>
    <x:row r="29">
      <x:c r="A29" s="171" t="str">
        <x:v>Entertainment</x:v>
      </x:c>
      <x:c r="B29" s="214" t="n">
        <x:v>3000</x:v>
      </x:c>
      <x:c r="C29" s="217" t="n">
        <x:v>3000</x:v>
      </x:c>
      <x:c r="D29" s="189" t="n">
        <x:f>B29-C29</x:f>
        <x:v>0</x:v>
      </x:c>
      <x:c r="E29" s="171" t="str">
        <x:f>IF(D29&gt;=0,"On track","Over")</x:f>
        <x:v>On track</x:v>
      </x:c>
      <x:c r="F29" s="171"/>
      <x:c r="G29" s="171"/>
      <x:c r="H29" s="171"/>
    </x:row>
    <x:row r="30">
      <x:c r="A30" s="171" t="str">
        <x:v>Travel sinking fund</x:v>
      </x:c>
      <x:c r="B30" s="214" t="n">
        <x:v>3000</x:v>
      </x:c>
      <x:c r="C30" s="217" t="n">
        <x:v>3000</x:v>
      </x:c>
      <x:c r="D30" s="189" t="n">
        <x:f>B30-C30</x:f>
        <x:v>0</x:v>
      </x:c>
      <x:c r="E30" s="171" t="str">
        <x:f>IF(D30&gt;=0,"On track","Over")</x:f>
        <x:v>On track</x:v>
      </x:c>
      <x:c r="F30" s="171"/>
      <x:c r="G30" s="171"/>
      <x:c r="H30" s="171"/>
    </x:row>
    <x:row r="31">
      <x:c r="A31" s="171" t="str">
        <x:v>Giving</x:v>
      </x:c>
      <x:c r="B31" s="214" t="n">
        <x:v>3000</x:v>
      </x:c>
      <x:c r="C31" s="217" t="n">
        <x:v>3000</x:v>
      </x:c>
      <x:c r="D31" s="189" t="n">
        <x:f>B31-C31</x:f>
        <x:v>0</x:v>
      </x:c>
      <x:c r="E31" s="171" t="str">
        <x:f>IF(D31&gt;=0,"On track","Over")</x:f>
        <x:v>On track</x:v>
      </x:c>
      <x:c r="F31" s="171"/>
      <x:c r="G31" s="171"/>
      <x:c r="H31" s="171"/>
    </x:row>
    <x:row r="32">
      <x:c r="A32" s="171" t="str">
        <x:v>Subscriptions</x:v>
      </x:c>
      <x:c r="B32" s="214" t="n">
        <x:v>3000</x:v>
      </x:c>
      <x:c r="C32" s="217" t="n">
        <x:v>3000</x:v>
      </x:c>
      <x:c r="D32" s="189" t="n">
        <x:f>B32-C32</x:f>
        <x:v>0</x:v>
      </x:c>
      <x:c r="E32" s="171" t="str">
        <x:f>IF(D32&gt;=0,"On track","Over")</x:f>
        <x:v>On track</x:v>
      </x:c>
      <x:c r="F32" s="171"/>
      <x:c r="G32" s="171"/>
      <x:c r="H32" s="171"/>
    </x:row>
    <x:row r="33">
      <x:c r="A33" s="171" t="str">
        <x:v>Other</x:v>
      </x:c>
      <x:c r="B33" s="215" t="n">
        <x:v>3000</x:v>
      </x:c>
      <x:c r="C33" s="218" t="n">
        <x:v>3000</x:v>
      </x:c>
      <x:c r="D33" s="189" t="n">
        <x:f>B33-C33</x:f>
        <x:v>0</x:v>
      </x:c>
      <x:c r="E33" s="171" t="str">
        <x:f>IF(D33&gt;=0,"On track","Over")</x:f>
        <x:v>On track</x:v>
      </x:c>
      <x:c r="F33" s="171"/>
      <x:c r="G33" s="171"/>
      <x:c r="H33" s="171"/>
    </x:row>
    <x:row r="34">
      <x:c r="A34" s="219" t="str">
        <x:v>TOTAL</x:v>
      </x:c>
      <x:c r="B34" s="220" t="n">
        <x:f>SUM(B18:B33)</x:f>
        <x:v>104000</x:v>
      </x:c>
      <x:c r="C34" s="220" t="n">
        <x:f>SUM(C18:C33)</x:f>
        <x:v>104500</x:v>
      </x:c>
      <x:c r="D34" s="220" t="n">
        <x:f>B34-C34</x:f>
        <x:v>-500</x:v>
      </x:c>
      <x:c r="E34" s="219" t="str">
        <x:f>IF(D34&gt;=0,"On track","Over")</x:f>
        <x:v>Over</x:v>
      </x:c>
      <x:c r="F34" s="171"/>
      <x:c r="G34" s="171"/>
      <x:c r="H34" s="171"/>
    </x:row>
  </x:sheetData>
  <x:mergeCells>
    <x:mergeCell ref="A1:H1"/>
    <x:mergeCell ref="A2:H2"/>
    <x:mergeCell ref="A7:C7"/>
    <x:mergeCell ref="A16:E16"/>
    <x:mergeCell ref="G7:H7"/>
    <x:mergeCell ref="G15:H17"/>
  </x:mergeCells>
  <x:conditionalFormatting sqref="E18:E34">
    <x:cfRule type="containsText" dxfId="0" priority="1" operator="containsText" text="Over"/>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6" hidden="0" customWidth="1"/>
  </x:cols>
  <x:sheetData>
    <x:row r="1" ht="36" customHeight="1">
      <x:c r="A1" s="4" t="str">
        <x:v>12-Month Cash Flow Plan</x:v>
      </x:c>
      <x:c r="B1" s="4" t="str">
        <x:v>12-Month Cash Flow Plan</x:v>
      </x:c>
      <x:c r="C1" s="4" t="str">
        <x:v>12-Month Cash Flow Plan</x:v>
      </x:c>
      <x:c r="D1" s="4" t="str">
        <x:v>12-Month Cash Flow Plan</x:v>
      </x:c>
      <x:c r="E1" s="4" t="str">
        <x:v>12-Month Cash Flow Plan</x:v>
      </x:c>
      <x:c r="F1" s="4" t="str">
        <x:v>12-Month Cash Flow Plan</x:v>
      </x:c>
      <x:c r="G1" s="4" t="str">
        <x:v>12-Month Cash Flow Plan</x:v>
      </x:c>
      <x:c r="H1" s="4" t="str">
        <x:v>12-Month Cash Flow Plan</x:v>
      </x:c>
      <x:c r="I1" s="4" t="str">
        <x:v>12-Month Cash Flow Plan</x:v>
      </x:c>
      <x:c r="J1" s="4" t="str">
        <x:v>12-Month Cash Flow Plan</x:v>
      </x:c>
      <x:c r="K1" s="4" t="str">
        <x:v>12-Month Cash Flow Plan</x:v>
      </x:c>
      <x:c r="L1" s="4" t="str">
        <x:v>12-Month Cash Flow Plan</x:v>
      </x:c>
      <x:c r="M1" s="4" t="str">
        <x:v>12-Month Cash Flow Plan</x:v>
      </x:c>
      <x:c r="N1" s="4" t="str">
        <x:v>12-Month Cash Flow Plan</x:v>
      </x:c>
    </x:row>
    <x:row r="2" ht="27" customHeight="1">
      <x:c r="A2" s="170" t="str">
        <x:v>Plan expected income, spending and major one-off items across the year.</x:v>
      </x:c>
      <x:c r="B2" s="170" t="str">
        <x:v>Plan expected income, spending and major one-off items across the year.</x:v>
      </x:c>
      <x:c r="C2" s="170" t="str">
        <x:v>Plan expected income, spending and major one-off items across the year.</x:v>
      </x:c>
      <x:c r="D2" s="170" t="str">
        <x:v>Plan expected income, spending and major one-off items across the year.</x:v>
      </x:c>
      <x:c r="E2" s="170" t="str">
        <x:v>Plan expected income, spending and major one-off items across the year.</x:v>
      </x:c>
      <x:c r="F2" s="170" t="str">
        <x:v>Plan expected income, spending and major one-off items across the year.</x:v>
      </x:c>
      <x:c r="G2" s="170" t="str">
        <x:v>Plan expected income, spending and major one-off items across the year.</x:v>
      </x:c>
      <x:c r="H2" s="170" t="str">
        <x:v>Plan expected income, spending and major one-off items across the year.</x:v>
      </x:c>
      <x:c r="I2" s="170" t="str">
        <x:v>Plan expected income, spending and major one-off items across the year.</x:v>
      </x:c>
      <x:c r="J2" s="170" t="str">
        <x:v>Plan expected income, spending and major one-off items across the year.</x:v>
      </x:c>
      <x:c r="K2" s="170" t="str">
        <x:v>Plan expected income, spending and major one-off items across the year.</x:v>
      </x:c>
      <x:c r="L2" s="170" t="str">
        <x:v>Plan expected income, spending and major one-off items across the year.</x:v>
      </x:c>
      <x:c r="M2" s="170" t="str">
        <x:v>Plan expected income, spending and major one-off items across the year.</x:v>
      </x:c>
      <x:c r="N2" s="170" t="str">
        <x:v>Plan expected income, spending and major one-off items across the year.</x:v>
      </x:c>
    </x:row>
    <x:row r="3">
      <x:c r="A3" s="171"/>
      <x:c r="B3" s="171"/>
      <x:c r="C3" s="171"/>
      <x:c r="D3" s="171"/>
      <x:c r="E3" s="171"/>
      <x:c r="F3" s="171"/>
      <x:c r="G3" s="171"/>
      <x:c r="H3" s="171"/>
      <x:c r="I3" s="171"/>
      <x:c r="J3" s="171"/>
      <x:c r="K3" s="171"/>
      <x:c r="L3" s="171"/>
      <x:c r="M3" s="171"/>
      <x:c r="N3" s="171"/>
    </x:row>
    <x:row r="4" ht="25" customHeight="1">
      <x:c r="A4" s="21" t="str">
        <x:v>Cash flow item</x:v>
      </x:c>
      <x:c r="B4" s="21" t="str">
        <x:v>Apr</x:v>
      </x:c>
      <x:c r="C4" s="21" t="str">
        <x:v>May</x:v>
      </x:c>
      <x:c r="D4" s="21" t="str">
        <x:v>Jun</x:v>
      </x:c>
      <x:c r="E4" s="21" t="str">
        <x:v>Jul</x:v>
      </x:c>
      <x:c r="F4" s="21" t="str">
        <x:v>Aug</x:v>
      </x:c>
      <x:c r="G4" s="21" t="str">
        <x:v>Sep</x:v>
      </x:c>
      <x:c r="H4" s="21" t="str">
        <x:v>Oct</x:v>
      </x:c>
      <x:c r="I4" s="21" t="str">
        <x:v>Nov</x:v>
      </x:c>
      <x:c r="J4" s="21" t="str">
        <x:v>Dec</x:v>
      </x:c>
      <x:c r="K4" s="21" t="str">
        <x:v>Jan</x:v>
      </x:c>
      <x:c r="L4" s="21" t="str">
        <x:v>Feb</x:v>
      </x:c>
      <x:c r="M4" s="21" t="str">
        <x:v>Mar</x:v>
      </x:c>
      <x:c r="N4" s="21" t="str">
        <x:v>Annual total</x:v>
      </x:c>
    </x:row>
    <x:row r="5">
      <x:c r="A5" s="171" t="str">
        <x:v>Net household income</x:v>
      </x:c>
      <x:c r="B5" s="213" t="n">
        <x:v>135000</x:v>
      </x:c>
      <x:c r="C5" s="221" t="n">
        <x:v>135000</x:v>
      </x:c>
      <x:c r="D5" s="221" t="n">
        <x:v>135000</x:v>
      </x:c>
      <x:c r="E5" s="221" t="n">
        <x:v>135000</x:v>
      </x:c>
      <x:c r="F5" s="221" t="n">
        <x:v>135000</x:v>
      </x:c>
      <x:c r="G5" s="221" t="n">
        <x:v>135000</x:v>
      </x:c>
      <x:c r="H5" s="221" t="n">
        <x:v>135000</x:v>
      </x:c>
      <x:c r="I5" s="221" t="n">
        <x:v>135000</x:v>
      </x:c>
      <x:c r="J5" s="221" t="n">
        <x:v>135000</x:v>
      </x:c>
      <x:c r="K5" s="221" t="n">
        <x:v>135000</x:v>
      </x:c>
      <x:c r="L5" s="221" t="n">
        <x:v>135000</x:v>
      </x:c>
      <x:c r="M5" s="216" t="n">
        <x:v>135000</x:v>
      </x:c>
      <x:c r="N5" s="171" t="n">
        <x:f>SUM(B5:M5)</x:f>
        <x:v>1620000</x:v>
      </x:c>
    </x:row>
    <x:row r="6">
      <x:c r="A6" s="171" t="str">
        <x:v>Essential spending</x:v>
      </x:c>
      <x:c r="B6" s="214" t="n">
        <x:v>60000</x:v>
      </x:c>
      <x:c r="C6" s="222" t="n">
        <x:v>60000</x:v>
      </x:c>
      <x:c r="D6" s="222" t="n">
        <x:v>60000</x:v>
      </x:c>
      <x:c r="E6" s="222" t="n">
        <x:v>60000</x:v>
      </x:c>
      <x:c r="F6" s="222" t="n">
        <x:v>60000</x:v>
      </x:c>
      <x:c r="G6" s="222" t="n">
        <x:v>60000</x:v>
      </x:c>
      <x:c r="H6" s="222" t="n">
        <x:v>60000</x:v>
      </x:c>
      <x:c r="I6" s="222" t="n">
        <x:v>60000</x:v>
      </x:c>
      <x:c r="J6" s="222" t="n">
        <x:v>60000</x:v>
      </x:c>
      <x:c r="K6" s="222" t="n">
        <x:v>60000</x:v>
      </x:c>
      <x:c r="L6" s="222" t="n">
        <x:v>60000</x:v>
      </x:c>
      <x:c r="M6" s="217" t="n">
        <x:v>60000</x:v>
      </x:c>
      <x:c r="N6" s="171" t="n">
        <x:f>SUM(B6:M6)</x:f>
        <x:v>720000</x:v>
      </x:c>
    </x:row>
    <x:row r="7">
      <x:c r="A7" s="171" t="str">
        <x:v>Flexible spending</x:v>
      </x:c>
      <x:c r="B7" s="214" t="n">
        <x:v>15000</x:v>
      </x:c>
      <x:c r="C7" s="222" t="n">
        <x:v>15000</x:v>
      </x:c>
      <x:c r="D7" s="222" t="n">
        <x:v>15000</x:v>
      </x:c>
      <x:c r="E7" s="222" t="n">
        <x:v>15000</x:v>
      </x:c>
      <x:c r="F7" s="222" t="n">
        <x:v>15000</x:v>
      </x:c>
      <x:c r="G7" s="222" t="n">
        <x:v>15000</x:v>
      </x:c>
      <x:c r="H7" s="222" t="n">
        <x:v>15000</x:v>
      </x:c>
      <x:c r="I7" s="222" t="n">
        <x:v>15000</x:v>
      </x:c>
      <x:c r="J7" s="222" t="n">
        <x:v>15000</x:v>
      </x:c>
      <x:c r="K7" s="222" t="n">
        <x:v>15000</x:v>
      </x:c>
      <x:c r="L7" s="222" t="n">
        <x:v>15000</x:v>
      </x:c>
      <x:c r="M7" s="217" t="n">
        <x:v>15000</x:v>
      </x:c>
      <x:c r="N7" s="171" t="n">
        <x:f>SUM(B7:M7)</x:f>
        <x:v>180000</x:v>
      </x:c>
    </x:row>
    <x:row r="8">
      <x:c r="A8" s="171" t="str">
        <x:v>Debt payments</x:v>
      </x:c>
      <x:c r="B8" s="214" t="n">
        <x:v>8000</x:v>
      </x:c>
      <x:c r="C8" s="222" t="n">
        <x:v>8000</x:v>
      </x:c>
      <x:c r="D8" s="222" t="n">
        <x:v>8000</x:v>
      </x:c>
      <x:c r="E8" s="222" t="n">
        <x:v>8000</x:v>
      </x:c>
      <x:c r="F8" s="222" t="n">
        <x:v>8000</x:v>
      </x:c>
      <x:c r="G8" s="222" t="n">
        <x:v>8000</x:v>
      </x:c>
      <x:c r="H8" s="222" t="n">
        <x:v>8000</x:v>
      </x:c>
      <x:c r="I8" s="222" t="n">
        <x:v>8000</x:v>
      </x:c>
      <x:c r="J8" s="222" t="n">
        <x:v>8000</x:v>
      </x:c>
      <x:c r="K8" s="222" t="n">
        <x:v>8000</x:v>
      </x:c>
      <x:c r="L8" s="222" t="n">
        <x:v>8000</x:v>
      </x:c>
      <x:c r="M8" s="217" t="n">
        <x:v>8000</x:v>
      </x:c>
      <x:c r="N8" s="171" t="n">
        <x:f>SUM(B8:M8)</x:f>
        <x:v>96000</x:v>
      </x:c>
    </x:row>
    <x:row r="9">
      <x:c r="A9" s="171" t="str">
        <x:v>Investing / saving</x:v>
      </x:c>
      <x:c r="B9" s="214" t="n">
        <x:v>25000</x:v>
      </x:c>
      <x:c r="C9" s="222" t="n">
        <x:v>25000</x:v>
      </x:c>
      <x:c r="D9" s="222" t="n">
        <x:v>25000</x:v>
      </x:c>
      <x:c r="E9" s="222" t="n">
        <x:v>25000</x:v>
      </x:c>
      <x:c r="F9" s="222" t="n">
        <x:v>25000</x:v>
      </x:c>
      <x:c r="G9" s="222" t="n">
        <x:v>25000</x:v>
      </x:c>
      <x:c r="H9" s="222" t="n">
        <x:v>25000</x:v>
      </x:c>
      <x:c r="I9" s="222" t="n">
        <x:v>25000</x:v>
      </x:c>
      <x:c r="J9" s="222" t="n">
        <x:v>25000</x:v>
      </x:c>
      <x:c r="K9" s="222" t="n">
        <x:v>25000</x:v>
      </x:c>
      <x:c r="L9" s="222" t="n">
        <x:v>25000</x:v>
      </x:c>
      <x:c r="M9" s="217" t="n">
        <x:v>25000</x:v>
      </x:c>
      <x:c r="N9" s="171" t="n">
        <x:f>SUM(B9:M9)</x:f>
        <x:v>300000</x:v>
      </x:c>
    </x:row>
    <x:row r="10">
      <x:c r="A10" s="171" t="str">
        <x:v>One-off inflows</x:v>
      </x:c>
      <x:c r="B10" s="214" t="n">
        <x:v>0</x:v>
      </x:c>
      <x:c r="C10" s="222" t="n">
        <x:v>0</x:v>
      </x:c>
      <x:c r="D10" s="222" t="n">
        <x:v>0</x:v>
      </x:c>
      <x:c r="E10" s="222" t="n">
        <x:v>0</x:v>
      </x:c>
      <x:c r="F10" s="222" t="n">
        <x:v>0</x:v>
      </x:c>
      <x:c r="G10" s="222" t="n">
        <x:v>0</x:v>
      </x:c>
      <x:c r="H10" s="222" t="n">
        <x:v>0</x:v>
      </x:c>
      <x:c r="I10" s="222" t="n">
        <x:v>0</x:v>
      </x:c>
      <x:c r="J10" s="222" t="n">
        <x:v>0</x:v>
      </x:c>
      <x:c r="K10" s="222" t="n">
        <x:v>0</x:v>
      </x:c>
      <x:c r="L10" s="222" t="n">
        <x:v>0</x:v>
      </x:c>
      <x:c r="M10" s="217" t="n">
        <x:v>0</x:v>
      </x:c>
      <x:c r="N10" s="171" t="n">
        <x:f>SUM(B10:M10)</x:f>
        <x:v>0</x:v>
      </x:c>
    </x:row>
    <x:row r="11">
      <x:c r="A11" s="171" t="str">
        <x:v>One-off outflows</x:v>
      </x:c>
      <x:c r="B11" s="215" t="n">
        <x:v>0</x:v>
      </x:c>
      <x:c r="C11" s="223" t="n">
        <x:v>0</x:v>
      </x:c>
      <x:c r="D11" s="223" t="n">
        <x:v>0</x:v>
      </x:c>
      <x:c r="E11" s="223" t="n">
        <x:v>0</x:v>
      </x:c>
      <x:c r="F11" s="223" t="n">
        <x:v>0</x:v>
      </x:c>
      <x:c r="G11" s="223" t="n">
        <x:v>0</x:v>
      </x:c>
      <x:c r="H11" s="223" t="n">
        <x:v>0</x:v>
      </x:c>
      <x:c r="I11" s="223" t="n">
        <x:v>0</x:v>
      </x:c>
      <x:c r="J11" s="223" t="n">
        <x:v>0</x:v>
      </x:c>
      <x:c r="K11" s="223" t="n">
        <x:v>0</x:v>
      </x:c>
      <x:c r="L11" s="223" t="n">
        <x:v>0</x:v>
      </x:c>
      <x:c r="M11" s="218" t="n">
        <x:v>0</x:v>
      </x:c>
      <x:c r="N11" s="171" t="n">
        <x:f>SUM(B11:M11)</x:f>
        <x:v>0</x:v>
      </x:c>
    </x:row>
    <x:row r="12">
      <x:c r="A12" s="219" t="str">
        <x:v>Net cash flow</x:v>
      </x:c>
      <x:c r="B12" s="224" t="n">
        <x:f>B5+B10-SUM(B6:B9)-B11</x:f>
        <x:v>27000</x:v>
      </x:c>
      <x:c r="C12" s="220" t="n">
        <x:f>C5+C10-SUM(C6:C9)-C11</x:f>
        <x:v>27000</x:v>
      </x:c>
      <x:c r="D12" s="220" t="n">
        <x:f>D5+D10-SUM(D6:D9)-D11</x:f>
        <x:v>27000</x:v>
      </x:c>
      <x:c r="E12" s="220" t="n">
        <x:f>E5+E10-SUM(E6:E9)-E11</x:f>
        <x:v>27000</x:v>
      </x:c>
      <x:c r="F12" s="220" t="n">
        <x:f>F5+F10-SUM(F6:F9)-F11</x:f>
        <x:v>27000</x:v>
      </x:c>
      <x:c r="G12" s="220" t="n">
        <x:f>G5+G10-SUM(G6:G9)-G11</x:f>
        <x:v>27000</x:v>
      </x:c>
      <x:c r="H12" s="220" t="n">
        <x:f>H5+H10-SUM(H6:H9)-H11</x:f>
        <x:v>27000</x:v>
      </x:c>
      <x:c r="I12" s="220" t="n">
        <x:f>I5+I10-SUM(I6:I9)-I11</x:f>
        <x:v>27000</x:v>
      </x:c>
      <x:c r="J12" s="220" t="n">
        <x:f>J5+J10-SUM(J6:J9)-J11</x:f>
        <x:v>27000</x:v>
      </x:c>
      <x:c r="K12" s="220" t="n">
        <x:f>K5+K10-SUM(K6:K9)-K11</x:f>
        <x:v>27000</x:v>
      </x:c>
      <x:c r="L12" s="220" t="n">
        <x:f>L5+L10-SUM(L6:L9)-L11</x:f>
        <x:v>27000</x:v>
      </x:c>
      <x:c r="M12" s="220" t="n">
        <x:f>M5+M10-SUM(M6:M9)-M11</x:f>
        <x:v>27000</x:v>
      </x:c>
      <x:c r="N12" s="220" t="n">
        <x:f>SUM(B12:M12)</x:f>
        <x:v>324000</x:v>
      </x:c>
    </x:row>
    <x:row r="13">
      <x:c r="A13" s="225" t="str">
        <x:v>Cumulative cash flow</x:v>
      </x:c>
      <x:c r="B13" s="226" t="n">
        <x:f>B12</x:f>
        <x:v>27000</x:v>
      </x:c>
      <x:c r="C13" s="227" t="n">
        <x:f>B13+C12</x:f>
        <x:v>54000</x:v>
      </x:c>
      <x:c r="D13" s="227" t="n">
        <x:f>C13+D12</x:f>
        <x:v>81000</x:v>
      </x:c>
      <x:c r="E13" s="227" t="n">
        <x:f>D13+E12</x:f>
        <x:v>108000</x:v>
      </x:c>
      <x:c r="F13" s="227" t="n">
        <x:f>E13+F12</x:f>
        <x:v>135000</x:v>
      </x:c>
      <x:c r="G13" s="227" t="n">
        <x:f>F13+G12</x:f>
        <x:v>162000</x:v>
      </x:c>
      <x:c r="H13" s="227" t="n">
        <x:f>G13+H12</x:f>
        <x:v>189000</x:v>
      </x:c>
      <x:c r="I13" s="227" t="n">
        <x:f>H13+I12</x:f>
        <x:v>216000</x:v>
      </x:c>
      <x:c r="J13" s="227" t="n">
        <x:f>I13+J12</x:f>
        <x:v>243000</x:v>
      </x:c>
      <x:c r="K13" s="227" t="n">
        <x:f>J13+K12</x:f>
        <x:v>270000</x:v>
      </x:c>
      <x:c r="L13" s="227" t="n">
        <x:f>K13+L12</x:f>
        <x:v>297000</x:v>
      </x:c>
      <x:c r="M13" s="227" t="n">
        <x:f>L13+M12</x:f>
        <x:v>324000</x:v>
      </x:c>
      <x:c r="N13" s="227" t="n">
        <x:f>M13</x:f>
        <x:v>324000</x:v>
      </x:c>
    </x:row>
    <x:row r="14">
      <x:c r="A14" s="171"/>
      <x:c r="B14" s="171"/>
      <x:c r="C14" s="171"/>
      <x:c r="D14" s="171"/>
      <x:c r="E14" s="171"/>
      <x:c r="F14" s="171"/>
      <x:c r="G14" s="171"/>
      <x:c r="H14" s="171"/>
      <x:c r="I14" s="171"/>
      <x:c r="J14" s="171"/>
      <x:c r="K14" s="171"/>
      <x:c r="L14" s="171"/>
      <x:c r="M14" s="171"/>
      <x:c r="N14" s="171"/>
    </x:row>
    <x:row r="15">
      <x:c r="A15" s="171"/>
      <x:c r="B15" s="171"/>
      <x:c r="C15" s="171"/>
      <x:c r="D15" s="171"/>
      <x:c r="E15" s="171"/>
      <x:c r="F15" s="171"/>
      <x:c r="G15" s="171"/>
      <x:c r="H15" s="171"/>
      <x:c r="I15" s="171"/>
      <x:c r="J15" s="171"/>
      <x:c r="K15" s="171"/>
      <x:c r="L15" s="171"/>
      <x:c r="M15" s="171"/>
      <x:c r="N15" s="171"/>
    </x:row>
    <x:row r="16" ht="32" customHeight="1">
      <x:c r="A16" s="182" t="str">
        <x:v>Use one-off rows for annual insurance premiums, school fees, bonuses, travel, tax payments or planned purchases. A negative cumulative balance signals a month that needs advance funding.</x:v>
      </x:c>
      <x:c r="B16" s="182" t="str">
        <x:v>Use one-off rows for annual insurance premiums, school fees, bonuses, travel, tax payments or planned purchases. A negative cumulative balance signals a month that needs advance funding.</x:v>
      </x:c>
      <x:c r="C16" s="182" t="str">
        <x:v>Use one-off rows for annual insurance premiums, school fees, bonuses, travel, tax payments or planned purchases. A negative cumulative balance signals a month that needs advance funding.</x:v>
      </x:c>
      <x:c r="D16" s="182" t="str">
        <x:v>Use one-off rows for annual insurance premiums, school fees, bonuses, travel, tax payments or planned purchases. A negative cumulative balance signals a month that needs advance funding.</x:v>
      </x:c>
      <x:c r="E16" s="182" t="str">
        <x:v>Use one-off rows for annual insurance premiums, school fees, bonuses, travel, tax payments or planned purchases. A negative cumulative balance signals a month that needs advance funding.</x:v>
      </x:c>
      <x:c r="F16" s="182" t="str">
        <x:v>Use one-off rows for annual insurance premiums, school fees, bonuses, travel, tax payments or planned purchases. A negative cumulative balance signals a month that needs advance funding.</x:v>
      </x:c>
      <x:c r="G16" s="182" t="str">
        <x:v>Use one-off rows for annual insurance premiums, school fees, bonuses, travel, tax payments or planned purchases. A negative cumulative balance signals a month that needs advance funding.</x:v>
      </x:c>
      <x:c r="H16" s="182" t="str">
        <x:v>Use one-off rows for annual insurance premiums, school fees, bonuses, travel, tax payments or planned purchases. A negative cumulative balance signals a month that needs advance funding.</x:v>
      </x:c>
      <x:c r="I16" s="182" t="str">
        <x:v>Use one-off rows for annual insurance premiums, school fees, bonuses, travel, tax payments or planned purchases. A negative cumulative balance signals a month that needs advance funding.</x:v>
      </x:c>
      <x:c r="J16" s="182" t="str">
        <x:v>Use one-off rows for annual insurance premiums, school fees, bonuses, travel, tax payments or planned purchases. A negative cumulative balance signals a month that needs advance funding.</x:v>
      </x:c>
      <x:c r="K16" s="182" t="str">
        <x:v>Use one-off rows for annual insurance premiums, school fees, bonuses, travel, tax payments or planned purchases. A negative cumulative balance signals a month that needs advance funding.</x:v>
      </x:c>
      <x:c r="L16" s="182" t="str">
        <x:v>Use one-off rows for annual insurance premiums, school fees, bonuses, travel, tax payments or planned purchases. A negative cumulative balance signals a month that needs advance funding.</x:v>
      </x:c>
      <x:c r="M16" s="182" t="str">
        <x:v>Use one-off rows for annual insurance premiums, school fees, bonuses, travel, tax payments or planned purchases. A negative cumulative balance signals a month that needs advance funding.</x:v>
      </x:c>
      <x:c r="N16" s="182" t="str">
        <x:v>Use one-off rows for annual insurance premiums, school fees, bonuses, travel, tax payments or planned purchases. A negative cumulative balance signals a month that needs advance funding.</x:v>
      </x:c>
    </x:row>
    <x:row r="17" ht="32" customHeight="1">
      <x:c r="A17" s="182" t="str">
        <x:v>Use one-off rows for annual insurance premiums, school fees, bonuses, travel, tax payments or planned purchases. A negative cumulative balance signals a month that needs advance funding.</x:v>
      </x:c>
      <x:c r="B17" s="182" t="str">
        <x:v>Use one-off rows for annual insurance premiums, school fees, bonuses, travel, tax payments or planned purchases. A negative cumulative balance signals a month that needs advance funding.</x:v>
      </x:c>
      <x:c r="C17" s="182" t="str">
        <x:v>Use one-off rows for annual insurance premiums, school fees, bonuses, travel, tax payments or planned purchases. A negative cumulative balance signals a month that needs advance funding.</x:v>
      </x:c>
      <x:c r="D17" s="182" t="str">
        <x:v>Use one-off rows for annual insurance premiums, school fees, bonuses, travel, tax payments or planned purchases. A negative cumulative balance signals a month that needs advance funding.</x:v>
      </x:c>
      <x:c r="E17" s="182" t="str">
        <x:v>Use one-off rows for annual insurance premiums, school fees, bonuses, travel, tax payments or planned purchases. A negative cumulative balance signals a month that needs advance funding.</x:v>
      </x:c>
      <x:c r="F17" s="182" t="str">
        <x:v>Use one-off rows for annual insurance premiums, school fees, bonuses, travel, tax payments or planned purchases. A negative cumulative balance signals a month that needs advance funding.</x:v>
      </x:c>
      <x:c r="G17" s="182" t="str">
        <x:v>Use one-off rows for annual insurance premiums, school fees, bonuses, travel, tax payments or planned purchases. A negative cumulative balance signals a month that needs advance funding.</x:v>
      </x:c>
      <x:c r="H17" s="182" t="str">
        <x:v>Use one-off rows for annual insurance premiums, school fees, bonuses, travel, tax payments or planned purchases. A negative cumulative balance signals a month that needs advance funding.</x:v>
      </x:c>
      <x:c r="I17" s="182" t="str">
        <x:v>Use one-off rows for annual insurance premiums, school fees, bonuses, travel, tax payments or planned purchases. A negative cumulative balance signals a month that needs advance funding.</x:v>
      </x:c>
      <x:c r="J17" s="182" t="str">
        <x:v>Use one-off rows for annual insurance premiums, school fees, bonuses, travel, tax payments or planned purchases. A negative cumulative balance signals a month that needs advance funding.</x:v>
      </x:c>
      <x:c r="K17" s="182" t="str">
        <x:v>Use one-off rows for annual insurance premiums, school fees, bonuses, travel, tax payments or planned purchases. A negative cumulative balance signals a month that needs advance funding.</x:v>
      </x:c>
      <x:c r="L17" s="182" t="str">
        <x:v>Use one-off rows for annual insurance premiums, school fees, bonuses, travel, tax payments or planned purchases. A negative cumulative balance signals a month that needs advance funding.</x:v>
      </x:c>
      <x:c r="M17" s="182" t="str">
        <x:v>Use one-off rows for annual insurance premiums, school fees, bonuses, travel, tax payments or planned purchases. A negative cumulative balance signals a month that needs advance funding.</x:v>
      </x:c>
      <x:c r="N17" s="182" t="str">
        <x:v>Use one-off rows for annual insurance premiums, school fees, bonuses, travel, tax payments or planned purchases. A negative cumulative balance signals a month that needs advance funding.</x:v>
      </x:c>
    </x:row>
  </x:sheetData>
  <x:mergeCells>
    <x:mergeCell ref="A1:N1"/>
    <x:mergeCell ref="A2:N2"/>
    <x:mergeCell ref="A16:N17"/>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19" hidden="0" customWidth="1"/>
    <x:col min="3" max="3" width="22" hidden="0" customWidth="1"/>
    <x:col min="4" max="4" width="4" hidden="0" customWidth="1"/>
    <x:col min="5" max="5" width="27" hidden="0" customWidth="1"/>
    <x:col min="6" max="6" width="19" hidden="0" customWidth="1"/>
    <x:col min="7" max="7" width="22" hidden="0" customWidth="1"/>
    <x:col min="8" max="8" width="18" hidden="0" customWidth="1"/>
  </x:cols>
  <x:sheetData>
    <x:row r="1" ht="36" customHeight="1">
      <x:c r="A1" s="4" t="str">
        <x:v>Net Worth Statement</x:v>
      </x:c>
      <x:c r="B1" s="4" t="str">
        <x:v>Net Worth Statement</x:v>
      </x:c>
      <x:c r="C1" s="4" t="str">
        <x:v>Net Worth Statement</x:v>
      </x:c>
      <x:c r="D1" s="4" t="str">
        <x:v>Net Worth Statement</x:v>
      </x:c>
      <x:c r="E1" s="4" t="str">
        <x:v>Net Worth Statement</x:v>
      </x:c>
      <x:c r="F1" s="4" t="str">
        <x:v>Net Worth Statement</x:v>
      </x:c>
      <x:c r="G1" s="4" t="str">
        <x:v>Net Worth Statement</x:v>
      </x:c>
      <x:c r="H1" s="4" t="str">
        <x:v>Net Worth Statement</x:v>
      </x:c>
    </x:row>
    <x:row r="2" ht="27" customHeight="1">
      <x:c r="A2" s="170" t="str">
        <x:v>Update quarterly. Use current reasonable values, not optimistic estimates.</x:v>
      </x:c>
      <x:c r="B2" s="170" t="str">
        <x:v>Update quarterly. Use current reasonable values, not optimistic estimates.</x:v>
      </x:c>
      <x:c r="C2" s="170" t="str">
        <x:v>Update quarterly. Use current reasonable values, not optimistic estimates.</x:v>
      </x:c>
      <x:c r="D2" s="170" t="str">
        <x:v>Update quarterly. Use current reasonable values, not optimistic estimates.</x:v>
      </x:c>
      <x:c r="E2" s="170" t="str">
        <x:v>Update quarterly. Use current reasonable values, not optimistic estimates.</x:v>
      </x:c>
      <x:c r="F2" s="170" t="str">
        <x:v>Update quarterly. Use current reasonable values, not optimistic estimates.</x:v>
      </x:c>
      <x:c r="G2" s="170" t="str">
        <x:v>Update quarterly. Use current reasonable values, not optimistic estimates.</x:v>
      </x:c>
      <x:c r="H2" s="170" t="str">
        <x:v>Update quarterly. Use current reasonable values, not optimistic estimates.</x:v>
      </x:c>
    </x:row>
    <x:row r="3">
      <x:c r="A3" s="171"/>
      <x:c r="B3" s="171"/>
      <x:c r="C3" s="171"/>
      <x:c r="D3" s="171"/>
      <x:c r="E3" s="171"/>
      <x:c r="F3" s="171"/>
      <x:c r="G3" s="171"/>
      <x:c r="H3" s="171"/>
    </x:row>
    <x:row r="4" ht="25" customHeight="1">
      <x:c r="A4" s="21" t="str">
        <x:v>As of date</x:v>
      </x:c>
      <x:c r="B4" s="21" t="str">
        <x:v>Total assets</x:v>
      </x:c>
      <x:c r="C4" s="21" t="str"/>
      <x:c r="D4" s="21" t="str">
        <x:v>Total liabilities</x:v>
      </x:c>
      <x:c r="E4" s="21" t="str"/>
      <x:c r="F4" s="21" t="str">
        <x:v>Net worth</x:v>
      </x:c>
      <x:c r="G4" s="21" t="str">
        <x:v>Debt-to-asset</x:v>
      </x:c>
      <x:c r="H4" s="171"/>
    </x:row>
    <x:row r="5">
      <x:c r="A5" s="228" t="n">
        <x:v>46237</x:v>
      </x:c>
      <x:c r="B5" s="209" t="n">
        <x:f>B20</x:f>
        <x:v>7600000</x:v>
      </x:c>
      <x:c r="C5" s="210" t="str"/>
      <x:c r="D5" s="210" t="n">
        <x:f>F20</x:f>
        <x:v>3475000</x:v>
      </x:c>
      <x:c r="E5" s="210" t="str"/>
      <x:c r="F5" s="211" t="n">
        <x:f>B5-D5</x:f>
        <x:v>4125000</x:v>
      </x:c>
      <x:c r="G5" s="212" t="n">
        <x:f>IF(B5=0,0,D5/B5)</x:f>
        <x:v>0.45723684210526316</x:v>
      </x:c>
      <x:c r="H5" s="171"/>
    </x:row>
    <x:row r="6">
      <x:c r="A6" s="171"/>
      <x:c r="B6" s="171"/>
      <x:c r="C6" s="171"/>
      <x:c r="D6" s="171"/>
      <x:c r="E6" s="171"/>
      <x:c r="F6" s="171"/>
      <x:c r="G6" s="171"/>
      <x:c r="H6" s="171"/>
    </x:row>
    <x:row r="7" ht="23" customHeight="1">
      <x:c r="A7" s="16" t="str">
        <x:v>Assets</x:v>
      </x:c>
      <x:c r="B7" s="16" t="str">
        <x:v>Assets</x:v>
      </x:c>
      <x:c r="C7" s="16" t="str">
        <x:v>Assets</x:v>
      </x:c>
      <x:c r="D7" s="171"/>
      <x:c r="E7" s="16" t="str">
        <x:v>Liabilities</x:v>
      </x:c>
      <x:c r="F7" s="16" t="str">
        <x:v>Liabilities</x:v>
      </x:c>
      <x:c r="G7" s="16" t="str">
        <x:v>Liabilities</x:v>
      </x:c>
      <x:c r="H7" s="171"/>
    </x:row>
    <x:row r="8" ht="25" customHeight="1">
      <x:c r="A8" s="21" t="str">
        <x:v>Asset</x:v>
      </x:c>
      <x:c r="B8" s="21" t="str">
        <x:v>Value (₹)</x:v>
      </x:c>
      <x:c r="C8" s="21" t="str">
        <x:v>Notes</x:v>
      </x:c>
      <x:c r="D8" s="171"/>
      <x:c r="E8" s="21" t="str">
        <x:v>Liability</x:v>
      </x:c>
      <x:c r="F8" s="21" t="str">
        <x:v>Balance (₹)</x:v>
      </x:c>
      <x:c r="G8" s="21" t="str">
        <x:v>Notes</x:v>
      </x:c>
      <x:c r="H8" s="171"/>
    </x:row>
    <x:row r="9">
      <x:c r="A9" s="171" t="str">
        <x:v>Bank cash</x:v>
      </x:c>
      <x:c r="B9" s="213" t="n">
        <x:v>150000</x:v>
      </x:c>
      <x:c r="C9" s="201" t="str"/>
      <x:c r="D9" s="171"/>
      <x:c r="E9" s="171" t="str">
        <x:v>Credit cards</x:v>
      </x:c>
      <x:c r="F9" s="213" t="n">
        <x:v>25000</x:v>
      </x:c>
      <x:c r="G9" s="201" t="str">
        <x:v>Pay in full</x:v>
      </x:c>
      <x:c r="H9" s="171"/>
    </x:row>
    <x:row r="10">
      <x:c r="A10" s="171" t="str">
        <x:v>Emergency savings</x:v>
      </x:c>
      <x:c r="B10" s="214" t="n">
        <x:v>100000</x:v>
      </x:c>
      <x:c r="C10" s="204" t="str"/>
      <x:c r="D10" s="171"/>
      <x:c r="E10" s="171" t="str">
        <x:v>Personal loan</x:v>
      </x:c>
      <x:c r="F10" s="214" t="n">
        <x:v>0</x:v>
      </x:c>
      <x:c r="G10" s="204" t="str"/>
      <x:c r="H10" s="171"/>
    </x:row>
    <x:row r="11">
      <x:c r="A11" s="171" t="str">
        <x:v>Fixed deposits</x:v>
      </x:c>
      <x:c r="B11" s="214" t="n">
        <x:v>200000</x:v>
      </x:c>
      <x:c r="C11" s="204" t="str"/>
      <x:c r="D11" s="171"/>
      <x:c r="E11" s="171" t="str">
        <x:v>Vehicle loan</x:v>
      </x:c>
      <x:c r="F11" s="214" t="n">
        <x:v>250000</x:v>
      </x:c>
      <x:c r="G11" s="204" t="str"/>
      <x:c r="H11" s="171"/>
    </x:row>
    <x:row r="12">
      <x:c r="A12" s="171" t="str">
        <x:v>EPF / PPF / NPS</x:v>
      </x:c>
      <x:c r="B12" s="214" t="n">
        <x:v>800000</x:v>
      </x:c>
      <x:c r="C12" s="204" t="str"/>
      <x:c r="D12" s="171"/>
      <x:c r="E12" s="171" t="str">
        <x:v>Education loan</x:v>
      </x:c>
      <x:c r="F12" s="214" t="n">
        <x:v>0</x:v>
      </x:c>
      <x:c r="G12" s="204" t="str"/>
      <x:c r="H12" s="171"/>
    </x:row>
    <x:row r="13">
      <x:c r="A13" s="171" t="str">
        <x:v>Mutual funds</x:v>
      </x:c>
      <x:c r="B13" s="214" t="n">
        <x:v>600000</x:v>
      </x:c>
      <x:c r="C13" s="204" t="str"/>
      <x:c r="D13" s="171"/>
      <x:c r="E13" s="171" t="str">
        <x:v>Home loan</x:v>
      </x:c>
      <x:c r="F13" s="214" t="n">
        <x:v>3200000</x:v>
      </x:c>
      <x:c r="G13" s="204" t="str"/>
      <x:c r="H13" s="171"/>
    </x:row>
    <x:row r="14">
      <x:c r="A14" s="171" t="str">
        <x:v>Stocks</x:v>
      </x:c>
      <x:c r="B14" s="214" t="n">
        <x:v>150000</x:v>
      </x:c>
      <x:c r="C14" s="204" t="str"/>
      <x:c r="D14" s="171"/>
      <x:c r="E14" s="171" t="str">
        <x:v>Buy-now-pay-later</x:v>
      </x:c>
      <x:c r="F14" s="214" t="n">
        <x:v>0</x:v>
      </x:c>
      <x:c r="G14" s="204" t="str"/>
      <x:c r="H14" s="171"/>
    </x:row>
    <x:row r="15">
      <x:c r="A15" s="171" t="str">
        <x:v>Gold</x:v>
      </x:c>
      <x:c r="B15" s="214" t="n">
        <x:v>200000</x:v>
      </x:c>
      <x:c r="C15" s="204" t="str"/>
      <x:c r="D15" s="171"/>
      <x:c r="E15" s="171" t="str">
        <x:v>Family loan</x:v>
      </x:c>
      <x:c r="F15" s="214" t="n">
        <x:v>0</x:v>
      </x:c>
      <x:c r="G15" s="204" t="str"/>
      <x:c r="H15" s="171"/>
    </x:row>
    <x:row r="16">
      <x:c r="A16" s="171" t="str">
        <x:v>Primary home</x:v>
      </x:c>
      <x:c r="B16" s="214" t="n">
        <x:v>5000000</x:v>
      </x:c>
      <x:c r="C16" s="204" t="str"/>
      <x:c r="D16" s="171"/>
      <x:c r="E16" s="171" t="str">
        <x:v>Taxes due</x:v>
      </x:c>
      <x:c r="F16" s="214" t="n">
        <x:v>0</x:v>
      </x:c>
      <x:c r="G16" s="204" t="str"/>
      <x:c r="H16" s="171"/>
    </x:row>
    <x:row r="17">
      <x:c r="A17" s="171" t="str">
        <x:v>Other property</x:v>
      </x:c>
      <x:c r="B17" s="214" t="n">
        <x:v>0</x:v>
      </x:c>
      <x:c r="C17" s="204" t="str"/>
      <x:c r="D17" s="171"/>
      <x:c r="E17" s="171" t="str">
        <x:v>Other debt</x:v>
      </x:c>
      <x:c r="F17" s="214" t="n">
        <x:v>0</x:v>
      </x:c>
      <x:c r="G17" s="204" t="str"/>
      <x:c r="H17" s="171"/>
    </x:row>
    <x:row r="18">
      <x:c r="A18" s="171" t="str">
        <x:v>Vehicle</x:v>
      </x:c>
      <x:c r="B18" s="214" t="n">
        <x:v>400000</x:v>
      </x:c>
      <x:c r="C18" s="204" t="str"/>
      <x:c r="D18" s="171"/>
      <x:c r="E18" s="171" t="str">
        <x:v>Other liability</x:v>
      </x:c>
      <x:c r="F18" s="214" t="n">
        <x:v>0</x:v>
      </x:c>
      <x:c r="G18" s="204" t="str"/>
      <x:c r="H18" s="171"/>
    </x:row>
    <x:row r="19">
      <x:c r="A19" s="171" t="str">
        <x:v>Other assets</x:v>
      </x:c>
      <x:c r="B19" s="215" t="n">
        <x:v>0</x:v>
      </x:c>
      <x:c r="C19" s="207" t="str"/>
      <x:c r="D19" s="171"/>
      <x:c r="E19" s="171" t="str"/>
      <x:c r="F19" s="215" t="n">
        <x:v>0</x:v>
      </x:c>
      <x:c r="G19" s="207" t="str"/>
      <x:c r="H19" s="171"/>
    </x:row>
    <x:row r="20">
      <x:c r="A20" s="219" t="str">
        <x:v>TOTAL ASSETS</x:v>
      </x:c>
      <x:c r="B20" s="220" t="n">
        <x:f>SUM(B9:B19)</x:f>
        <x:v>7600000</x:v>
      </x:c>
      <x:c r="C20" s="219" t="str"/>
      <x:c r="D20" s="171"/>
      <x:c r="E20" s="219" t="str">
        <x:v>TOTAL LIABILITIES</x:v>
      </x:c>
      <x:c r="F20" s="220" t="n">
        <x:f>SUM(F9:F19)</x:f>
        <x:v>3475000</x:v>
      </x:c>
      <x:c r="G20" s="219" t="str"/>
      <x:c r="H20" s="171"/>
    </x:row>
    <x:row r="21">
      <x:c r="A21" s="171"/>
      <x:c r="B21" s="171"/>
      <x:c r="C21" s="171"/>
      <x:c r="D21" s="171"/>
      <x:c r="E21" s="171"/>
      <x:c r="F21" s="171"/>
      <x:c r="G21" s="171"/>
      <x:c r="H21" s="171"/>
    </x:row>
    <x:row r="22">
      <x:c r="A22" s="171"/>
      <x:c r="B22" s="171"/>
      <x:c r="C22" s="171"/>
      <x:c r="D22" s="171"/>
      <x:c r="E22" s="171"/>
      <x:c r="F22" s="171"/>
      <x:c r="G22" s="171"/>
      <x:c r="H22" s="171"/>
    </x:row>
    <x:row r="23" ht="23" customHeight="1">
      <x:c r="A23" s="16" t="str">
        <x:v>Quarterly history</x:v>
      </x:c>
      <x:c r="B23" s="16" t="str">
        <x:v>Quarterly history</x:v>
      </x:c>
      <x:c r="C23" s="16" t="str">
        <x:v>Quarterly history</x:v>
      </x:c>
      <x:c r="D23" s="16" t="str">
        <x:v>Quarterly history</x:v>
      </x:c>
      <x:c r="E23" s="16" t="str">
        <x:v>Quarterly history</x:v>
      </x:c>
      <x:c r="F23" s="16" t="str">
        <x:v>Quarterly history</x:v>
      </x:c>
      <x:c r="G23" s="16" t="str">
        <x:v>Quarterly history</x:v>
      </x:c>
      <x:c r="H23" s="171"/>
    </x:row>
    <x:row r="24" ht="25" customHeight="1">
      <x:c r="A24" s="21" t="str">
        <x:v>Date</x:v>
      </x:c>
      <x:c r="B24" s="21" t="str">
        <x:v>Assets</x:v>
      </x:c>
      <x:c r="C24" s="21" t="str">
        <x:v>Liabilities</x:v>
      </x:c>
      <x:c r="D24" s="21" t="str">
        <x:v>Net worth</x:v>
      </x:c>
      <x:c r="E24" s="171"/>
      <x:c r="F24" s="171"/>
      <x:c r="G24" s="171"/>
      <x:c r="H24" s="171"/>
    </x:row>
    <x:row r="25">
      <x:c r="A25" s="229" t="n">
        <x:v>46023</x:v>
      </x:c>
      <x:c r="B25" s="221" t="n">
        <x:v>6900000</x:v>
      </x:c>
      <x:c r="C25" s="216" t="n">
        <x:v>3700000</x:v>
      </x:c>
      <x:c r="D25" s="189" t="n">
        <x:f>B25-C25</x:f>
        <x:v>3200000</x:v>
      </x:c>
      <x:c r="E25" s="171"/>
      <x:c r="F25" s="171"/>
      <x:c r="G25" s="171"/>
      <x:c r="H25" s="171"/>
    </x:row>
    <x:row r="26">
      <x:c r="A26" s="230" t="n">
        <x:v>46113</x:v>
      </x:c>
      <x:c r="B26" s="222" t="n">
        <x:v>7200000</x:v>
      </x:c>
      <x:c r="C26" s="217" t="n">
        <x:v>3600000</x:v>
      </x:c>
      <x:c r="D26" s="189" t="n">
        <x:f>B26-C26</x:f>
        <x:v>3600000</x:v>
      </x:c>
      <x:c r="E26" s="171"/>
      <x:c r="F26" s="171"/>
      <x:c r="G26" s="171"/>
      <x:c r="H26" s="171"/>
    </x:row>
    <x:row r="27">
      <x:c r="A27" s="230" t="n">
        <x:v>46204</x:v>
      </x:c>
      <x:c r="B27" s="222" t="n">
        <x:v>7500000</x:v>
      </x:c>
      <x:c r="C27" s="217" t="n">
        <x:v>3500000</x:v>
      </x:c>
      <x:c r="D27" s="189" t="n">
        <x:f>B27-C27</x:f>
        <x:v>4000000</x:v>
      </x:c>
      <x:c r="E27" s="171"/>
      <x:c r="F27" s="171"/>
      <x:c r="G27" s="171"/>
      <x:c r="H27" s="171"/>
    </x:row>
    <x:row r="28">
      <x:c r="A28" s="230" t="n">
        <x:v>46296</x:v>
      </x:c>
      <x:c r="B28" s="222"/>
      <x:c r="C28" s="217"/>
      <x:c r="D28" s="189" t="n">
        <x:f>B28-C28</x:f>
        <x:v>0</x:v>
      </x:c>
      <x:c r="E28" s="171"/>
      <x:c r="F28" s="171"/>
      <x:c r="G28" s="171"/>
      <x:c r="H28" s="171"/>
    </x:row>
    <x:row r="29">
      <x:c r="A29" s="231" t="n">
        <x:v>46388</x:v>
      </x:c>
      <x:c r="B29" s="223"/>
      <x:c r="C29" s="218"/>
      <x:c r="D29" s="189" t="n">
        <x:f>B29-C29</x:f>
        <x:v>0</x:v>
      </x:c>
      <x:c r="E29" s="171"/>
      <x:c r="F29" s="171"/>
      <x:c r="G29" s="171"/>
      <x:c r="H29" s="171"/>
    </x:row>
  </x:sheetData>
  <x:mergeCells>
    <x:mergeCell ref="A1:H1"/>
    <x:mergeCell ref="A2:H2"/>
    <x:mergeCell ref="A7:C7"/>
    <x:mergeCell ref="E7:G7"/>
    <x:mergeCell ref="A23:G2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1" hidden="0" customWidth="1"/>
    <x:col min="2" max="2" width="20" hidden="0" customWidth="1"/>
    <x:col min="3" max="3" width="4" hidden="0" customWidth="1"/>
    <x:col min="4" max="4" width="30" hidden="0" customWidth="1"/>
    <x:col min="5" max="5" width="20" hidden="0" customWidth="1"/>
    <x:col min="6" max="6" width="20" hidden="0" customWidth="1"/>
    <x:col min="7" max="7" width="20" hidden="0" customWidth="1"/>
  </x:cols>
  <x:sheetData>
    <x:row r="1" ht="36" customHeight="1">
      <x:c r="A1" s="4" t="str">
        <x:v>Emergency Fund Planner</x:v>
      </x:c>
      <x:c r="B1" s="4" t="str">
        <x:v>Emergency Fund Planner</x:v>
      </x:c>
      <x:c r="C1" s="4" t="str">
        <x:v>Emergency Fund Planner</x:v>
      </x:c>
      <x:c r="D1" s="4" t="str">
        <x:v>Emergency Fund Planner</x:v>
      </x:c>
      <x:c r="E1" s="4" t="str">
        <x:v>Emergency Fund Planner</x:v>
      </x:c>
      <x:c r="F1" s="4" t="str">
        <x:v>Emergency Fund Planner</x:v>
      </x:c>
      <x:c r="G1" s="4" t="str">
        <x:v>Emergency Fund Planner</x:v>
      </x:c>
    </x:row>
    <x:row r="2" ht="27" customHeight="1">
      <x:c r="A2" s="170" t="str">
        <x:v>Build a liquid reserve from essential expenses, income stability and chosen coverage.</x:v>
      </x:c>
      <x:c r="B2" s="170" t="str">
        <x:v>Build a liquid reserve from essential expenses, income stability and chosen coverage.</x:v>
      </x:c>
      <x:c r="C2" s="170" t="str">
        <x:v>Build a liquid reserve from essential expenses, income stability and chosen coverage.</x:v>
      </x:c>
      <x:c r="D2" s="170" t="str">
        <x:v>Build a liquid reserve from essential expenses, income stability and chosen coverage.</x:v>
      </x:c>
      <x:c r="E2" s="170" t="str">
        <x:v>Build a liquid reserve from essential expenses, income stability and chosen coverage.</x:v>
      </x:c>
      <x:c r="F2" s="170" t="str">
        <x:v>Build a liquid reserve from essential expenses, income stability and chosen coverage.</x:v>
      </x:c>
      <x:c r="G2" s="170" t="str">
        <x:v>Build a liquid reserve from essential expenses, income stability and chosen coverage.</x:v>
      </x:c>
    </x:row>
    <x:row r="3">
      <x:c r="A3" s="171"/>
      <x:c r="B3" s="171"/>
      <x:c r="C3" s="171"/>
      <x:c r="D3" s="171"/>
      <x:c r="E3" s="171"/>
      <x:c r="F3" s="171"/>
      <x:c r="G3" s="171"/>
    </x:row>
    <x:row r="4" ht="23" customHeight="1">
      <x:c r="A4" s="16" t="str">
        <x:v>Essential monthly expenses</x:v>
      </x:c>
      <x:c r="B4" s="16" t="str">
        <x:v>Essential monthly expenses</x:v>
      </x:c>
      <x:c r="C4" s="171"/>
      <x:c r="D4" s="16" t="str">
        <x:v>Fund target</x:v>
      </x:c>
      <x:c r="E4" s="16" t="str">
        <x:v>Fund target</x:v>
      </x:c>
      <x:c r="F4" s="171"/>
      <x:c r="G4" s="171"/>
    </x:row>
    <x:row r="5" ht="25" customHeight="1">
      <x:c r="A5" s="21" t="str">
        <x:v>Expense</x:v>
      </x:c>
      <x:c r="B5" s="21" t="str">
        <x:v>Monthly amount</x:v>
      </x:c>
      <x:c r="C5" s="171"/>
      <x:c r="D5" s="21" t="str">
        <x:v>Input / output</x:v>
      </x:c>
      <x:c r="E5" s="21" t="str">
        <x:v>Amount</x:v>
      </x:c>
      <x:c r="F5" s="171"/>
      <x:c r="G5" s="171"/>
    </x:row>
    <x:row r="6">
      <x:c r="A6" s="171" t="str">
        <x:v>Housing</x:v>
      </x:c>
      <x:c r="B6" s="232" t="n">
        <x:v>28000</x:v>
      </x:c>
      <x:c r="C6" s="171"/>
      <x:c r="D6" s="171" t="str">
        <x:v>Months of cover</x:v>
      </x:c>
      <x:c r="E6" s="208" t="n">
        <x:v>6</x:v>
      </x:c>
      <x:c r="F6" s="171"/>
      <x:c r="G6" s="171"/>
    </x:row>
    <x:row r="7">
      <x:c r="A7" s="171" t="str">
        <x:v>Utilities</x:v>
      </x:c>
      <x:c r="B7" s="233" t="n">
        <x:v>6000</x:v>
      </x:c>
      <x:c r="C7" s="171"/>
      <x:c r="D7" s="171" t="str">
        <x:v>Target reserve</x:v>
      </x:c>
      <x:c r="E7" s="234" t="n">
        <x:f>B13*E6</x:f>
        <x:v>417000</x:v>
      </x:c>
      <x:c r="F7" s="171"/>
      <x:c r="G7" s="171"/>
    </x:row>
    <x:row r="8">
      <x:c r="A8" s="171" t="str">
        <x:v>Groceries</x:v>
      </x:c>
      <x:c r="B8" s="233" t="n">
        <x:v>12500</x:v>
      </x:c>
      <x:c r="C8" s="171"/>
      <x:c r="D8" s="171" t="str">
        <x:v>Current liquid reserve</x:v>
      </x:c>
      <x:c r="E8" s="235" t="n">
        <x:v>100000</x:v>
      </x:c>
      <x:c r="F8" s="171"/>
      <x:c r="G8" s="171"/>
    </x:row>
    <x:row r="9">
      <x:c r="A9" s="171" t="str">
        <x:v>Transport</x:v>
      </x:c>
      <x:c r="B9" s="233" t="n">
        <x:v>6000</x:v>
      </x:c>
      <x:c r="C9" s="171"/>
      <x:c r="D9" s="171" t="str">
        <x:v>Funding gap</x:v>
      </x:c>
      <x:c r="E9" s="236" t="n">
        <x:f>MAX(0,E7-E8)</x:f>
        <x:v>317000</x:v>
      </x:c>
      <x:c r="F9" s="171"/>
      <x:c r="G9" s="171"/>
    </x:row>
    <x:row r="10">
      <x:c r="A10" s="171" t="str">
        <x:v>Healthcare / insurance</x:v>
      </x:c>
      <x:c r="B10" s="233" t="n">
        <x:v>5000</x:v>
      </x:c>
      <x:c r="C10" s="171"/>
      <x:c r="D10" s="171" t="str">
        <x:v>Target build period (months)</x:v>
      </x:c>
      <x:c r="E10" s="208" t="n">
        <x:v>12</x:v>
      </x:c>
      <x:c r="F10" s="171"/>
      <x:c r="G10" s="171"/>
    </x:row>
    <x:row r="11">
      <x:c r="A11" s="171" t="str">
        <x:v>Debt minimums</x:v>
      </x:c>
      <x:c r="B11" s="233" t="n">
        <x:v>8000</x:v>
      </x:c>
      <x:c r="C11" s="171"/>
      <x:c r="D11" s="171" t="str">
        <x:v>Monthly saving required</x:v>
      </x:c>
      <x:c r="E11" s="237" t="n">
        <x:f>IF(E10=0,0,E9/E10)</x:f>
        <x:v>26416.666666666668</x:v>
      </x:c>
      <x:c r="F11" s="171"/>
      <x:c r="G11" s="171"/>
    </x:row>
    <x:row r="12">
      <x:c r="A12" s="171" t="str">
        <x:v>Other essentials</x:v>
      </x:c>
      <x:c r="B12" s="238" t="n">
        <x:v>4000</x:v>
      </x:c>
      <x:c r="C12" s="171"/>
      <x:c r="D12" s="171" t="str">
        <x:v>Coverage already held</x:v>
      </x:c>
      <x:c r="E12" s="239" t="n">
        <x:f>IF(B13=0,0,E8/B13)</x:f>
        <x:v>1.4388489208633093</x:v>
      </x:c>
      <x:c r="F12" s="171"/>
      <x:c r="G12" s="171"/>
    </x:row>
    <x:row r="13">
      <x:c r="A13" s="219" t="str">
        <x:v>Total essentials</x:v>
      </x:c>
      <x:c r="B13" s="220" t="n">
        <x:f>SUM(B6:B12)</x:f>
        <x:v>69500</x:v>
      </x:c>
      <x:c r="C13" s="171"/>
      <x:c r="D13" s="171"/>
      <x:c r="E13" s="171"/>
      <x:c r="F13" s="171"/>
      <x:c r="G13" s="171"/>
    </x:row>
    <x:row r="14">
      <x:c r="A14" s="171"/>
      <x:c r="B14" s="171"/>
      <x:c r="C14" s="171"/>
      <x:c r="D14" s="171"/>
      <x:c r="E14" s="171"/>
      <x:c r="F14" s="171"/>
      <x:c r="G14" s="171"/>
    </x:row>
    <x:row r="15" ht="25" customHeight="1">
      <x:c r="A15" s="171"/>
      <x:c r="B15" s="171"/>
      <x:c r="C15" s="171"/>
      <x:c r="D15" s="21" t="str">
        <x:v>Risk factor</x:v>
      </x:c>
      <x:c r="E15" s="21" t="str">
        <x:v>Low need</x:v>
      </x:c>
      <x:c r="F15" s="21" t="str">
        <x:v>Medium need</x:v>
      </x:c>
      <x:c r="G15" s="21" t="str">
        <x:v>Higher need</x:v>
      </x:c>
    </x:row>
    <x:row r="16" ht="32" customHeight="1">
      <x:c r="A16" s="182" t="str">
        <x:v>Keep this reserve accessible and separate from long-term investments. Consider savings accounts, sweep deposits or other liquid options appropriate to your needs.</x:v>
      </x:c>
      <x:c r="B16" s="182" t="str">
        <x:v>Keep this reserve accessible and separate from long-term investments. Consider savings accounts, sweep deposits or other liquid options appropriate to your needs.</x:v>
      </x:c>
      <x:c r="C16" s="171"/>
      <x:c r="D16" s="240" t="str">
        <x:v>Income stability</x:v>
      </x:c>
      <x:c r="E16" s="240" t="str">
        <x:v>Two stable incomes</x:v>
      </x:c>
      <x:c r="F16" s="240" t="str">
        <x:v>One stable income</x:v>
      </x:c>
      <x:c r="G16" s="240" t="str">
        <x:v>Variable / business income</x:v>
      </x:c>
    </x:row>
    <x:row r="17" ht="32" customHeight="1">
      <x:c r="A17" s="182" t="str">
        <x:v>Keep this reserve accessible and separate from long-term investments. Consider savings accounts, sweep deposits or other liquid options appropriate to your needs.</x:v>
      </x:c>
      <x:c r="B17" s="182" t="str">
        <x:v>Keep this reserve accessible and separate from long-term investments. Consider savings accounts, sweep deposits or other liquid options appropriate to your needs.</x:v>
      </x:c>
      <x:c r="C17" s="171"/>
      <x:c r="D17" s="241" t="str">
        <x:v>Dependants</x:v>
      </x:c>
      <x:c r="E17" s="241" t="str">
        <x:v>None</x:v>
      </x:c>
      <x:c r="F17" s="241" t="str">
        <x:v>One or two</x:v>
      </x:c>
      <x:c r="G17" s="241" t="str">
        <x:v>Several / elder care</x:v>
      </x:c>
    </x:row>
    <x:row r="18" ht="32" customHeight="1">
      <x:c r="A18" s="182" t="str">
        <x:v>Keep this reserve accessible and separate from long-term investments. Consider savings accounts, sweep deposits or other liquid options appropriate to your needs.</x:v>
      </x:c>
      <x:c r="B18" s="182" t="str">
        <x:v>Keep this reserve accessible and separate from long-term investments. Consider savings accounts, sweep deposits or other liquid options appropriate to your needs.</x:v>
      </x:c>
      <x:c r="C18" s="171"/>
      <x:c r="D18" s="241" t="str">
        <x:v>Health / insurance</x:v>
      </x:c>
      <x:c r="E18" s="241" t="str">
        <x:v>Strong coverage</x:v>
      </x:c>
      <x:c r="F18" s="241" t="str">
        <x:v>Some gaps</x:v>
      </x:c>
      <x:c r="G18" s="241" t="str">
        <x:v>Large gaps</x:v>
      </x:c>
    </x:row>
    <x:row r="19" ht="32" customHeight="1">
      <x:c r="A19" s="182" t="str">
        <x:v>Keep this reserve accessible and separate from long-term investments. Consider savings accounts, sweep deposits or other liquid options appropriate to your needs.</x:v>
      </x:c>
      <x:c r="B19" s="182" t="str">
        <x:v>Keep this reserve accessible and separate from long-term investments. Consider savings accounts, sweep deposits or other liquid options appropriate to your needs.</x:v>
      </x:c>
      <x:c r="C19" s="171"/>
      <x:c r="D19" s="242" t="str">
        <x:v>Suggested starting range</x:v>
      </x:c>
      <x:c r="E19" s="242" t="str">
        <x:v>3-4 months</x:v>
      </x:c>
      <x:c r="F19" s="242" t="str">
        <x:v>5-6 months</x:v>
      </x:c>
      <x:c r="G19" s="242" t="str">
        <x:v>9-12 months</x:v>
      </x:c>
    </x:row>
  </x:sheetData>
  <x:mergeCells>
    <x:mergeCell ref="A1:G1"/>
    <x:mergeCell ref="A2:G2"/>
    <x:mergeCell ref="A4:B4"/>
    <x:mergeCell ref="D4:E4"/>
    <x:mergeCell ref="A16:B19"/>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2" hidden="0" customWidth="1"/>
    <x:col min="2" max="2" width="17" hidden="0" customWidth="1"/>
    <x:col min="3" max="3" width="15" hidden="0" customWidth="1"/>
    <x:col min="4" max="4" width="13" hidden="0" customWidth="1"/>
    <x:col min="5" max="5" width="13" hidden="0" customWidth="1"/>
    <x:col min="6" max="6" width="18" hidden="0" customWidth="1"/>
    <x:col min="7" max="7" width="15" hidden="0" customWidth="1"/>
    <x:col min="8" max="8" width="18" hidden="0" customWidth="1"/>
    <x:col min="9" max="9" width="18" hidden="0" customWidth="1"/>
    <x:col min="10" max="10" width="17" hidden="0" customWidth="1"/>
  </x:cols>
  <x:sheetData>
    <x:row r="1" ht="36" customHeight="1">
      <x:c r="A1" s="4" t="str">
        <x:v>Goal Funding Planner</x:v>
      </x:c>
      <x:c r="B1" s="4" t="str">
        <x:v>Goal Funding Planner</x:v>
      </x:c>
      <x:c r="C1" s="4" t="str">
        <x:v>Goal Funding Planner</x:v>
      </x:c>
      <x:c r="D1" s="4" t="str">
        <x:v>Goal Funding Planner</x:v>
      </x:c>
      <x:c r="E1" s="4" t="str">
        <x:v>Goal Funding Planner</x:v>
      </x:c>
      <x:c r="F1" s="4" t="str">
        <x:v>Goal Funding Planner</x:v>
      </x:c>
      <x:c r="G1" s="4" t="str">
        <x:v>Goal Funding Planner</x:v>
      </x:c>
      <x:c r="H1" s="4" t="str">
        <x:v>Goal Funding Planner</x:v>
      </x:c>
      <x:c r="I1" s="4" t="str">
        <x:v>Goal Funding Planner</x:v>
      </x:c>
      <x:c r="J1" s="4" t="str">
        <x:v>Goal Funding Planner</x:v>
      </x:c>
    </x:row>
    <x:row r="2" ht="27" customHeight="1">
      <x:c r="A2" s="170" t="str">
        <x:v>Inflation-aware targets and estimated monthly savings for multiple goals.</x:v>
      </x:c>
      <x:c r="B2" s="170" t="str">
        <x:v>Inflation-aware targets and estimated monthly savings for multiple goals.</x:v>
      </x:c>
      <x:c r="C2" s="170" t="str">
        <x:v>Inflation-aware targets and estimated monthly savings for multiple goals.</x:v>
      </x:c>
      <x:c r="D2" s="170" t="str">
        <x:v>Inflation-aware targets and estimated monthly savings for multiple goals.</x:v>
      </x:c>
      <x:c r="E2" s="170" t="str">
        <x:v>Inflation-aware targets and estimated monthly savings for multiple goals.</x:v>
      </x:c>
      <x:c r="F2" s="170" t="str">
        <x:v>Inflation-aware targets and estimated monthly savings for multiple goals.</x:v>
      </x:c>
      <x:c r="G2" s="170" t="str">
        <x:v>Inflation-aware targets and estimated monthly savings for multiple goals.</x:v>
      </x:c>
      <x:c r="H2" s="170" t="str">
        <x:v>Inflation-aware targets and estimated monthly savings for multiple goals.</x:v>
      </x:c>
      <x:c r="I2" s="170" t="str">
        <x:v>Inflation-aware targets and estimated monthly savings for multiple goals.</x:v>
      </x:c>
      <x:c r="J2" s="170" t="str">
        <x:v>Inflation-aware targets and estimated monthly savings for multiple goals.</x:v>
      </x:c>
    </x:row>
    <x:row r="3">
      <x:c r="A3" s="171"/>
      <x:c r="B3" s="171"/>
      <x:c r="C3" s="171"/>
      <x:c r="D3" s="171"/>
      <x:c r="E3" s="171"/>
      <x:c r="F3" s="171"/>
      <x:c r="G3" s="171"/>
      <x:c r="H3" s="171"/>
      <x:c r="I3" s="171"/>
      <x:c r="J3" s="171"/>
    </x:row>
    <x:row r="4" ht="25" customHeight="1">
      <x:c r="A4" s="21" t="str">
        <x:v>Goal</x:v>
      </x:c>
      <x:c r="B4" s="21" t="str">
        <x:v>Target today (₹)</x:v>
      </x:c>
      <x:c r="C4" s="21" t="str">
        <x:v>Inflation</x:v>
      </x:c>
      <x:c r="D4" s="21" t="str">
        <x:v>Years</x:v>
      </x:c>
      <x:c r="E4" s="21" t="str">
        <x:v>Future target (₹)</x:v>
      </x:c>
      <x:c r="F4" s="21" t="str">
        <x:v>Saved now (₹)</x:v>
      </x:c>
      <x:c r="G4" s="21" t="str">
        <x:v>Expected return</x:v>
      </x:c>
      <x:c r="H4" s="21" t="str">
        <x:v>Future value saved</x:v>
      </x:c>
      <x:c r="I4" s="21" t="str">
        <x:v>Monthly required</x:v>
      </x:c>
      <x:c r="J4" s="21" t="str">
        <x:v>Funding %</x:v>
      </x:c>
    </x:row>
    <x:row r="5">
      <x:c r="A5" s="199" t="str">
        <x:v>Emergency reserve</x:v>
      </x:c>
      <x:c r="B5" s="221" t="n">
        <x:v>450000</x:v>
      </x:c>
      <x:c r="C5" s="243" t="n">
        <x:v>0.06</x:v>
      </x:c>
      <x:c r="D5" s="201" t="n">
        <x:v>1</x:v>
      </x:c>
      <x:c r="E5" s="234" t="n">
        <x:f>B5*(1+C5)^D5</x:f>
        <x:v>477000</x:v>
      </x:c>
      <x:c r="F5" s="213" t="n">
        <x:v>100000</x:v>
      </x:c>
      <x:c r="G5" s="216" t="n">
        <x:v>0.06</x:v>
      </x:c>
      <x:c r="H5" s="189" t="n">
        <x:f>F5*(1+G5)^D5</x:f>
        <x:v>106000</x:v>
      </x:c>
      <x:c r="I5" s="244" t="n">
        <x:f>IF(D5&lt;=0,MAX(0,E5-F5),IF(G5=0,MAX(0,(E5-F5)/(D5*12)),MAX(0,(E5-F5*(1+G5/12)^(D5*12))/(((1+G5/12)^(D5*12)-1)/(G5/12)))))</x:f>
        <x:v>30062.04399957005</x:v>
      </x:c>
      <x:c r="J5" s="245" t="n">
        <x:f>IF(E5=0,0,MIN(1,H5/E5))</x:f>
        <x:v>0.2222222222222222</x:v>
      </x:c>
    </x:row>
    <x:row r="6">
      <x:c r="A6" s="202" t="str">
        <x:v>Home down payment</x:v>
      </x:c>
      <x:c r="B6" s="222" t="n">
        <x:v>2500000</x:v>
      </x:c>
      <x:c r="C6" s="246" t="n">
        <x:v>0.06</x:v>
      </x:c>
      <x:c r="D6" s="204" t="n">
        <x:v>5</x:v>
      </x:c>
      <x:c r="E6" s="247" t="n">
        <x:f>B6*(1+C6)^D6</x:f>
        <x:v>3345563.9440000006</x:v>
      </x:c>
      <x:c r="F6" s="214" t="n">
        <x:v>400000</x:v>
      </x:c>
      <x:c r="G6" s="217" t="n">
        <x:v>0.09</x:v>
      </x:c>
      <x:c r="H6" s="189" t="n">
        <x:f>F6*(1+G6)^D6</x:f>
        <x:v>615449.5819600002</x:v>
      </x:c>
      <x:c r="I6" s="248" t="n">
        <x:f>IF(D6&lt;=0,MAX(0,E6-F6),IF(G6=0,MAX(0,(E6-F6)/(D6*12)),MAX(0,(E6-F6*(1+G6/12)^(D6*12))/(((1+G6/12)^(D6*12)-1)/(G6/12)))))</x:f>
        <x:v>36053.33311149194</x:v>
      </x:c>
      <x:c r="J6" s="249" t="n">
        <x:f>IF(E6=0,0,MIN(1,H6/E6))</x:f>
        <x:v>0.18395989204264335</x:v>
      </x:c>
    </x:row>
    <x:row r="7">
      <x:c r="A7" s="202" t="str">
        <x:v>Child education</x:v>
      </x:c>
      <x:c r="B7" s="222" t="n">
        <x:v>3000000</x:v>
      </x:c>
      <x:c r="C7" s="246" t="n">
        <x:v>0.08</x:v>
      </x:c>
      <x:c r="D7" s="204" t="n">
        <x:v>12</x:v>
      </x:c>
      <x:c r="E7" s="247" t="n">
        <x:f>B7*(1+C7)^D7</x:f>
        <x:v>7554510.350456941</x:v>
      </x:c>
      <x:c r="F7" s="214" t="n">
        <x:v>250000</x:v>
      </x:c>
      <x:c r="G7" s="217" t="n">
        <x:v>0.1</x:v>
      </x:c>
      <x:c r="H7" s="189" t="n">
        <x:f>F7*(1+G7)^D7</x:f>
        <x:v>784607.0941802508</x:v>
      </x:c>
      <x:c r="I7" s="248" t="n">
        <x:f>IF(D7&lt;=0,MAX(0,E7-F7),IF(G7=0,MAX(0,(E7-F7)/(D7*12)),MAX(0,(E7-F7*(1+G7/12)^(D7*12))/(((1+G7/12)^(D7*12)-1)/(G7/12)))))</x:f>
        <x:v>24340.36248380926</x:v>
      </x:c>
      <x:c r="J7" s="249" t="n">
        <x:f>IF(E7=0,0,MIN(1,H7/E7))</x:f>
        <x:v>0.10385942407674287</x:v>
      </x:c>
    </x:row>
    <x:row r="8">
      <x:c r="A8" s="202" t="str">
        <x:v>Major travel</x:v>
      </x:c>
      <x:c r="B8" s="222" t="n">
        <x:v>500000</x:v>
      </x:c>
      <x:c r="C8" s="246" t="n">
        <x:v>0.06</x:v>
      </x:c>
      <x:c r="D8" s="204" t="n">
        <x:v>3</x:v>
      </x:c>
      <x:c r="E8" s="247" t="n">
        <x:f>B8*(1+C8)^D8</x:f>
        <x:v>595508</x:v>
      </x:c>
      <x:c r="F8" s="214" t="n">
        <x:v>50000</x:v>
      </x:c>
      <x:c r="G8" s="217" t="n">
        <x:v>0.07</x:v>
      </x:c>
      <x:c r="H8" s="189" t="n">
        <x:f>F8*(1+G8)^D8</x:f>
        <x:v>61252.15000000001</x:v>
      </x:c>
      <x:c r="I8" s="248" t="n">
        <x:f>IF(D8&lt;=0,MAX(0,E8-F8),IF(G8=0,MAX(0,(E8-F8)/(D8*12)),MAX(0,(E8-F8*(1+G8/12)^(D8*12))/(((1+G8/12)^(D8*12)-1)/(G8/12)))))</x:f>
        <x:v>13369.906690168591</x:v>
      </x:c>
      <x:c r="J8" s="249" t="n">
        <x:f>IF(E8=0,0,MIN(1,H8/E8))</x:f>
        <x:v>0.10285697253437402</x:v>
      </x:c>
    </x:row>
    <x:row r="9">
      <x:c r="A9" s="205" t="str">
        <x:v>Other goal</x:v>
      </x:c>
      <x:c r="B9" s="223" t="n">
        <x:v>1000000</x:v>
      </x:c>
      <x:c r="C9" s="250" t="n">
        <x:v>0.06</x:v>
      </x:c>
      <x:c r="D9" s="207" t="n">
        <x:v>8</x:v>
      </x:c>
      <x:c r="E9" s="236" t="n">
        <x:f>B9*(1+C9)^D9</x:f>
        <x:v>1593848.0745308422</x:v>
      </x:c>
      <x:c r="F9" s="215" t="n">
        <x:v>0</x:v>
      </x:c>
      <x:c r="G9" s="218" t="n">
        <x:v>0.09</x:v>
      </x:c>
      <x:c r="H9" s="189" t="n">
        <x:f>F9*(1+G9)^D9</x:f>
        <x:v>0</x:v>
      </x:c>
      <x:c r="I9" s="251" t="n">
        <x:f>IF(D9&lt;=0,MAX(0,E9-F9),IF(G9=0,MAX(0,(E9-F9)/(D9*12)),MAX(0,(E9-F9*(1+G9/12)^(D9*12))/(((1+G9/12)^(D9*12)-1)/(G9/12)))))</x:f>
        <x:v>11396.33772027953</x:v>
      </x:c>
      <x:c r="J9" s="252" t="n">
        <x:f>IF(E9=0,0,MIN(1,H9/E9))</x:f>
        <x:v>0</x:v>
      </x:c>
    </x:row>
    <x:row r="10">
      <x:c r="A10" s="171"/>
      <x:c r="B10" s="171"/>
      <x:c r="C10" s="171"/>
      <x:c r="D10" s="171"/>
      <x:c r="E10" s="171"/>
      <x:c r="F10" s="171"/>
      <x:c r="G10" s="171"/>
      <x:c r="H10" s="171"/>
      <x:c r="I10" s="171"/>
      <x:c r="J10" s="171"/>
    </x:row>
    <x:row r="11">
      <x:c r="A11" s="219" t="str">
        <x:v>TOTAL</x:v>
      </x:c>
      <x:c r="B11" s="220" t="n">
        <x:f>SUM(B5:B9)</x:f>
        <x:v>7450000</x:v>
      </x:c>
      <x:c r="C11" s="220" t="str"/>
      <x:c r="D11" s="220" t="str"/>
      <x:c r="E11" s="220" t="n">
        <x:f>SUM(E5:E9)</x:f>
        <x:v>13566430.368987784</x:v>
      </x:c>
      <x:c r="F11" s="220" t="n">
        <x:f>SUM(F5:F9)</x:f>
        <x:v>800000</x:v>
      </x:c>
      <x:c r="G11" s="220" t="str"/>
      <x:c r="H11" s="220" t="n">
        <x:f>SUM(H5:H9)</x:f>
        <x:v>1567308.826140251</x:v>
      </x:c>
      <x:c r="I11" s="220" t="n">
        <x:f>SUM(I5:I9)</x:f>
        <x:v>115221.98400531938</x:v>
      </x:c>
      <x:c r="J11" s="219" t="str"/>
    </x:row>
    <x:row r="12">
      <x:c r="A12" s="171"/>
      <x:c r="B12" s="171"/>
      <x:c r="C12" s="171"/>
      <x:c r="D12" s="171"/>
      <x:c r="E12" s="171"/>
      <x:c r="F12" s="171"/>
      <x:c r="G12" s="171"/>
      <x:c r="H12" s="171"/>
      <x:c r="I12" s="171"/>
      <x:c r="J12" s="171"/>
    </x:row>
    <x:row r="13">
      <x:c r="A13" s="171"/>
      <x:c r="B13" s="171"/>
      <x:c r="C13" s="171"/>
      <x:c r="D13" s="171"/>
      <x:c r="E13" s="171"/>
      <x:c r="F13" s="171"/>
      <x:c r="G13" s="171"/>
      <x:c r="H13" s="171"/>
      <x:c r="I13" s="171"/>
      <x:c r="J13" s="171"/>
    </x:row>
    <x:row r="14" ht="23" customHeight="1">
      <x:c r="A14" s="16" t="str">
        <x:v>Scenario check for the highest-priority long-term goal</x:v>
      </x:c>
      <x:c r="B14" s="16" t="str">
        <x:v>Scenario check for the highest-priority long-term goal</x:v>
      </x:c>
      <x:c r="C14" s="16" t="str">
        <x:v>Scenario check for the highest-priority long-term goal</x:v>
      </x:c>
      <x:c r="D14" s="16" t="str">
        <x:v>Scenario check for the highest-priority long-term goal</x:v>
      </x:c>
      <x:c r="E14" s="16" t="str">
        <x:v>Scenario check for the highest-priority long-term goal</x:v>
      </x:c>
      <x:c r="F14" s="16" t="str">
        <x:v>Scenario check for the highest-priority long-term goal</x:v>
      </x:c>
      <x:c r="G14" s="16" t="str">
        <x:v>Scenario check for the highest-priority long-term goal</x:v>
      </x:c>
      <x:c r="H14" s="16" t="str">
        <x:v>Scenario check for the highest-priority long-term goal</x:v>
      </x:c>
      <x:c r="I14" s="16" t="str">
        <x:v>Scenario check for the highest-priority long-term goal</x:v>
      </x:c>
      <x:c r="J14" s="16" t="str">
        <x:v>Scenario check for the highest-priority long-term goal</x:v>
      </x:c>
    </x:row>
    <x:row r="15" ht="32" customHeight="1">
      <x:c r="A15" s="21" t="str">
        <x:v>Scenario</x:v>
      </x:c>
      <x:c r="B15" s="21" t="str">
        <x:v>Return</x:v>
      </x:c>
      <x:c r="C15" s="21" t="str">
        <x:v>Inflation</x:v>
      </x:c>
      <x:c r="D15" s="21" t="str">
        <x:v>Monthly amount</x:v>
      </x:c>
      <x:c r="E15" s="171"/>
      <x:c r="F15" s="182" t="str">
        <x:v>These are planning estimates. Lower-return and higher-inflation scenarios help reveal whether the plan has enough margin of safety.</x:v>
      </x:c>
      <x:c r="G15" s="182" t="str">
        <x:v>These are planning estimates. Lower-return and higher-inflation scenarios help reveal whether the plan has enough margin of safety.</x:v>
      </x:c>
      <x:c r="H15" s="182" t="str">
        <x:v>These are planning estimates. Lower-return and higher-inflation scenarios help reveal whether the plan has enough margin of safety.</x:v>
      </x:c>
      <x:c r="I15" s="182" t="str">
        <x:v>These are planning estimates. Lower-return and higher-inflation scenarios help reveal whether the plan has enough margin of safety.</x:v>
      </x:c>
      <x:c r="J15" s="182" t="str">
        <x:v>These are planning estimates. Lower-return and higher-inflation scenarios help reveal whether the plan has enough margin of safety.</x:v>
      </x:c>
    </x:row>
    <x:row r="16" ht="32" customHeight="1">
      <x:c r="A16" s="171" t="str">
        <x:v>Conservative</x:v>
      </x:c>
      <x:c r="B16" s="253" t="n">
        <x:v>0.07</x:v>
      </x:c>
      <x:c r="C16" s="254" t="n">
        <x:v>0.08</x:v>
      </x:c>
      <x:c r="D16" s="189" t="n">
        <x:f>IF($D$7&lt;=0,0,MAX(0,($B$7*(1+C16)^$D$7-$F$7*(1+B16/12)^($D$7*12))/(((1+B16/12)^($D$7*12)-1)/(B16/12))))</x:f>
        <x:v>31050.226482982154</x:v>
      </x:c>
      <x:c r="E16" s="171"/>
      <x:c r="F16" s="182" t="str">
        <x:v>These are planning estimates. Lower-return and higher-inflation scenarios help reveal whether the plan has enough margin of safety.</x:v>
      </x:c>
      <x:c r="G16" s="182" t="str">
        <x:v>These are planning estimates. Lower-return and higher-inflation scenarios help reveal whether the plan has enough margin of safety.</x:v>
      </x:c>
      <x:c r="H16" s="182" t="str">
        <x:v>These are planning estimates. Lower-return and higher-inflation scenarios help reveal whether the plan has enough margin of safety.</x:v>
      </x:c>
      <x:c r="I16" s="182" t="str">
        <x:v>These are planning estimates. Lower-return and higher-inflation scenarios help reveal whether the plan has enough margin of safety.</x:v>
      </x:c>
      <x:c r="J16" s="182" t="str">
        <x:v>These are planning estimates. Lower-return and higher-inflation scenarios help reveal whether the plan has enough margin of safety.</x:v>
      </x:c>
    </x:row>
    <x:row r="17" ht="32" customHeight="1">
      <x:c r="A17" s="171" t="str">
        <x:v>Base</x:v>
      </x:c>
      <x:c r="B17" s="255" t="n">
        <x:v>0.1</x:v>
      </x:c>
      <x:c r="C17" s="256" t="n">
        <x:v>0.08</x:v>
      </x:c>
      <x:c r="D17" s="189" t="n">
        <x:f>IF($D$7&lt;=0,0,MAX(0,($B$7*(1+C17)^$D$7-$F$7*(1+B17/12)^($D$7*12))/(((1+B17/12)^($D$7*12)-1)/(B17/12))))</x:f>
        <x:v>24340.36248380926</x:v>
      </x:c>
      <x:c r="E17" s="171"/>
      <x:c r="F17" s="182" t="str">
        <x:v>These are planning estimates. Lower-return and higher-inflation scenarios help reveal whether the plan has enough margin of safety.</x:v>
      </x:c>
      <x:c r="G17" s="182" t="str">
        <x:v>These are planning estimates. Lower-return and higher-inflation scenarios help reveal whether the plan has enough margin of safety.</x:v>
      </x:c>
      <x:c r="H17" s="182" t="str">
        <x:v>These are planning estimates. Lower-return and higher-inflation scenarios help reveal whether the plan has enough margin of safety.</x:v>
      </x:c>
      <x:c r="I17" s="182" t="str">
        <x:v>These are planning estimates. Lower-return and higher-inflation scenarios help reveal whether the plan has enough margin of safety.</x:v>
      </x:c>
      <x:c r="J17" s="182" t="str">
        <x:v>These are planning estimates. Lower-return and higher-inflation scenarios help reveal whether the plan has enough margin of safety.</x:v>
      </x:c>
    </x:row>
    <x:row r="18" ht="32" customHeight="1">
      <x:c r="A18" s="171" t="str">
        <x:v>Optimistic</x:v>
      </x:c>
      <x:c r="B18" s="257" t="n">
        <x:v>0.12</x:v>
      </x:c>
      <x:c r="C18" s="258" t="n">
        <x:v>0.07</x:v>
      </x:c>
      <x:c r="D18" s="189" t="n">
        <x:f>IF($D$7&lt;=0,0,MAX(0,($B$7*(1+C18)^$D$7-$F$7*(1+B18/12)^($D$7*12))/(((1+B18/12)^($D$7*12)-1)/(B18/12))))</x:f>
        <x:v>17892.850771281246</x:v>
      </x:c>
      <x:c r="E18" s="171"/>
      <x:c r="F18" s="182" t="str">
        <x:v>These are planning estimates. Lower-return and higher-inflation scenarios help reveal whether the plan has enough margin of safety.</x:v>
      </x:c>
      <x:c r="G18" s="182" t="str">
        <x:v>These are planning estimates. Lower-return and higher-inflation scenarios help reveal whether the plan has enough margin of safety.</x:v>
      </x:c>
      <x:c r="H18" s="182" t="str">
        <x:v>These are planning estimates. Lower-return and higher-inflation scenarios help reveal whether the plan has enough margin of safety.</x:v>
      </x:c>
      <x:c r="I18" s="182" t="str">
        <x:v>These are planning estimates. Lower-return and higher-inflation scenarios help reveal whether the plan has enough margin of safety.</x:v>
      </x:c>
      <x:c r="J18" s="182" t="str">
        <x:v>These are planning estimates. Lower-return and higher-inflation scenarios help reveal whether the plan has enough margin of safety.</x:v>
      </x:c>
    </x:row>
  </x:sheetData>
  <x:mergeCells>
    <x:mergeCell ref="A1:J1"/>
    <x:mergeCell ref="A2:J2"/>
    <x:mergeCell ref="A14:J14"/>
    <x:mergeCell ref="F15:J18"/>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3" hidden="0" customWidth="1"/>
    <x:col min="2" max="2" width="18" hidden="0" customWidth="1"/>
    <x:col min="3" max="3" width="14" hidden="0" customWidth="1"/>
    <x:col min="4" max="4" width="17" hidden="0" customWidth="1"/>
    <x:col min="5" max="5" width="17" hidden="0" customWidth="1"/>
    <x:col min="6" max="6" width="19" hidden="0" customWidth="1"/>
    <x:col min="7" max="7" width="16" hidden="0" customWidth="1"/>
    <x:col min="8" max="8" width="17" hidden="0" customWidth="1"/>
    <x:col min="9" max="9" width="26" hidden="0" customWidth="1"/>
  </x:cols>
  <x:sheetData>
    <x:row r="1" ht="36" customHeight="1">
      <x:c r="A1" s="4" t="str">
        <x:v>Debt Payoff Planner</x:v>
      </x:c>
      <x:c r="B1" s="4" t="str">
        <x:v>Debt Payoff Planner</x:v>
      </x:c>
      <x:c r="C1" s="4" t="str">
        <x:v>Debt Payoff Planner</x:v>
      </x:c>
      <x:c r="D1" s="4" t="str">
        <x:v>Debt Payoff Planner</x:v>
      </x:c>
      <x:c r="E1" s="4" t="str">
        <x:v>Debt Payoff Planner</x:v>
      </x:c>
      <x:c r="F1" s="4" t="str">
        <x:v>Debt Payoff Planner</x:v>
      </x:c>
      <x:c r="G1" s="4" t="str">
        <x:v>Debt Payoff Planner</x:v>
      </x:c>
      <x:c r="H1" s="4" t="str">
        <x:v>Debt Payoff Planner</x:v>
      </x:c>
      <x:c r="I1" s="4" t="str">
        <x:v>Debt Payoff Planner</x:v>
      </x:c>
    </x:row>
    <x:row r="2" ht="27" customHeight="1">
      <x:c r="A2" s="170" t="str">
        <x:v>Compare balances, interest rates and payment capacity. Costly debt generally deserves urgent attention.</x:v>
      </x:c>
      <x:c r="B2" s="170" t="str">
        <x:v>Compare balances, interest rates and payment capacity. Costly debt generally deserves urgent attention.</x:v>
      </x:c>
      <x:c r="C2" s="170" t="str">
        <x:v>Compare balances, interest rates and payment capacity. Costly debt generally deserves urgent attention.</x:v>
      </x:c>
      <x:c r="D2" s="170" t="str">
        <x:v>Compare balances, interest rates and payment capacity. Costly debt generally deserves urgent attention.</x:v>
      </x:c>
      <x:c r="E2" s="170" t="str">
        <x:v>Compare balances, interest rates and payment capacity. Costly debt generally deserves urgent attention.</x:v>
      </x:c>
      <x:c r="F2" s="170" t="str">
        <x:v>Compare balances, interest rates and payment capacity. Costly debt generally deserves urgent attention.</x:v>
      </x:c>
      <x:c r="G2" s="170" t="str">
        <x:v>Compare balances, interest rates and payment capacity. Costly debt generally deserves urgent attention.</x:v>
      </x:c>
      <x:c r="H2" s="170" t="str">
        <x:v>Compare balances, interest rates and payment capacity. Costly debt generally deserves urgent attention.</x:v>
      </x:c>
      <x:c r="I2" s="170" t="str">
        <x:v>Compare balances, interest rates and payment capacity. Costly debt generally deserves urgent attention.</x:v>
      </x:c>
    </x:row>
    <x:row r="3">
      <x:c r="A3" s="171"/>
      <x:c r="B3" s="171"/>
      <x:c r="C3" s="171"/>
      <x:c r="D3" s="171"/>
      <x:c r="E3" s="171"/>
      <x:c r="F3" s="171"/>
      <x:c r="G3" s="171"/>
      <x:c r="H3" s="171"/>
      <x:c r="I3" s="171"/>
    </x:row>
    <x:row r="4" ht="25" customHeight="1">
      <x:c r="A4" s="21" t="str">
        <x:v>Debt</x:v>
      </x:c>
      <x:c r="B4" s="21" t="str">
        <x:v>Balance (₹)</x:v>
      </x:c>
      <x:c r="C4" s="21" t="str">
        <x:v>Annual rate</x:v>
      </x:c>
      <x:c r="D4" s="21" t="str">
        <x:v>Minimum payment</x:v>
      </x:c>
      <x:c r="E4" s="21" t="str">
        <x:v>Extra payment</x:v>
      </x:c>
      <x:c r="F4" s="21" t="str">
        <x:v>Total payment</x:v>
      </x:c>
      <x:c r="G4" s="21" t="str">
        <x:v>Est. months</x:v>
      </x:c>
      <x:c r="H4" s="21" t="str">
        <x:v>Priority</x:v>
      </x:c>
      <x:c r="I4" s="21" t="str">
        <x:v>Action / note</x:v>
      </x:c>
    </x:row>
    <x:row r="5">
      <x:c r="A5" s="199" t="str">
        <x:v>Credit card</x:v>
      </x:c>
      <x:c r="B5" s="221" t="n">
        <x:v>25000</x:v>
      </x:c>
      <x:c r="C5" s="243" t="n">
        <x:v>0.36</x:v>
      </x:c>
      <x:c r="D5" s="221" t="n">
        <x:v>5000</x:v>
      </x:c>
      <x:c r="E5" s="216" t="n">
        <x:v>5000</x:v>
      </x:c>
      <x:c r="F5" s="244" t="n">
        <x:f>D5+E5</x:f>
        <x:v>10000</x:v>
      </x:c>
      <x:c r="G5" s="259" t="n">
        <x:f>IF(B5&lt;=0,0,IF(F5&lt;=0,"Add payment",IF(C5=0,ROUNDUP(B5/F5,0),IF(F5&lt;=B5*C5/12,"Payment too low",ROUNDUP(NPER(C5/12,-F5,B5),0)))))</x:f>
        <x:v>3</x:v>
      </x:c>
      <x:c r="H5" s="199" t="n">
        <x:v>1</x:v>
      </x:c>
      <x:c r="I5" s="201" t="str">
        <x:v>Clear first</x:v>
      </x:c>
    </x:row>
    <x:row r="6">
      <x:c r="A6" s="202" t="str">
        <x:v>Personal loan</x:v>
      </x:c>
      <x:c r="B6" s="222" t="n">
        <x:v>0</x:v>
      </x:c>
      <x:c r="C6" s="246" t="n">
        <x:v>0.14</x:v>
      </x:c>
      <x:c r="D6" s="222" t="n">
        <x:v>0</x:v>
      </x:c>
      <x:c r="E6" s="217" t="n">
        <x:v>0</x:v>
      </x:c>
      <x:c r="F6" s="248" t="n">
        <x:f>D6+E6</x:f>
        <x:v>0</x:v>
      </x:c>
      <x:c r="G6" s="260" t="n">
        <x:f>IF(B6&lt;=0,0,IF(F6&lt;=0,"Add payment",IF(C6=0,ROUNDUP(B6/F6,0),IF(F6&lt;=B6*C6/12,"Payment too low",ROUNDUP(NPER(C6/12,-F6,B6),0)))))</x:f>
        <x:v>0</x:v>
      </x:c>
      <x:c r="H6" s="202" t="n">
        <x:v>2</x:v>
      </x:c>
      <x:c r="I6" s="204" t="str"/>
    </x:row>
    <x:row r="7">
      <x:c r="A7" s="202" t="str">
        <x:v>Vehicle loan</x:v>
      </x:c>
      <x:c r="B7" s="222" t="n">
        <x:v>250000</x:v>
      </x:c>
      <x:c r="C7" s="246" t="n">
        <x:v>0.1</x:v>
      </x:c>
      <x:c r="D7" s="222" t="n">
        <x:v>8000</x:v>
      </x:c>
      <x:c r="E7" s="217" t="n">
        <x:v>2000</x:v>
      </x:c>
      <x:c r="F7" s="248" t="n">
        <x:f>D7+E7</x:f>
        <x:v>10000</x:v>
      </x:c>
      <x:c r="G7" s="260" t="n">
        <x:f>IF(B7&lt;=0,0,IF(F7&lt;=0,"Add payment",IF(C7=0,ROUNDUP(B7/F7,0),IF(F7&lt;=B7*C7/12,"Payment too low",ROUNDUP(NPER(C7/12,-F7,B7),0)))))</x:f>
        <x:v>29</x:v>
      </x:c>
      <x:c r="H7" s="202" t="n">
        <x:v>3</x:v>
      </x:c>
      <x:c r="I7" s="204" t="str"/>
    </x:row>
    <x:row r="8">
      <x:c r="A8" s="202" t="str">
        <x:v>Education loan</x:v>
      </x:c>
      <x:c r="B8" s="222" t="n">
        <x:v>0</x:v>
      </x:c>
      <x:c r="C8" s="246" t="n">
        <x:v>0.09</x:v>
      </x:c>
      <x:c r="D8" s="222" t="n">
        <x:v>0</x:v>
      </x:c>
      <x:c r="E8" s="217" t="n">
        <x:v>0</x:v>
      </x:c>
      <x:c r="F8" s="248" t="n">
        <x:f>D8+E8</x:f>
        <x:v>0</x:v>
      </x:c>
      <x:c r="G8" s="260" t="n">
        <x:f>IF(B8&lt;=0,0,IF(F8&lt;=0,"Add payment",IF(C8=0,ROUNDUP(B8/F8,0),IF(F8&lt;=B8*C8/12,"Payment too low",ROUNDUP(NPER(C8/12,-F8,B8),0)))))</x:f>
        <x:v>0</x:v>
      </x:c>
      <x:c r="H8" s="202" t="n">
        <x:v>4</x:v>
      </x:c>
      <x:c r="I8" s="204" t="str"/>
    </x:row>
    <x:row r="9">
      <x:c r="A9" s="202" t="str">
        <x:v>Home loan</x:v>
      </x:c>
      <x:c r="B9" s="222" t="n">
        <x:v>3200000</x:v>
      </x:c>
      <x:c r="C9" s="246" t="n">
        <x:v>0.085</x:v>
      </x:c>
      <x:c r="D9" s="222" t="n">
        <x:v>28000</x:v>
      </x:c>
      <x:c r="E9" s="217" t="n">
        <x:v>0</x:v>
      </x:c>
      <x:c r="F9" s="248" t="n">
        <x:f>D9+E9</x:f>
        <x:v>28000</x:v>
      </x:c>
      <x:c r="G9" s="260" t="n">
        <x:f>IF(B9&lt;=0,0,IF(F9&lt;=0,"Add payment",IF(C9=0,ROUNDUP(B9/F9,0),IF(F9&lt;=B9*C9/12,"Payment too low",ROUNDUP(NPER(C9/12,-F9,B9),0)))))</x:f>
        <x:v>235</x:v>
      </x:c>
      <x:c r="H9" s="202" t="n">
        <x:v>5</x:v>
      </x:c>
      <x:c r="I9" s="204" t="str">
        <x:v>Review prepayment trade-off</x:v>
      </x:c>
    </x:row>
    <x:row r="10">
      <x:c r="A10" s="205" t="str">
        <x:v>Other</x:v>
      </x:c>
      <x:c r="B10" s="223" t="n">
        <x:v>0</x:v>
      </x:c>
      <x:c r="C10" s="250" t="n">
        <x:v>0.12</x:v>
      </x:c>
      <x:c r="D10" s="223" t="n">
        <x:v>0</x:v>
      </x:c>
      <x:c r="E10" s="218" t="n">
        <x:v>0</x:v>
      </x:c>
      <x:c r="F10" s="251" t="n">
        <x:f>D10+E10</x:f>
        <x:v>0</x:v>
      </x:c>
      <x:c r="G10" s="261" t="n">
        <x:f>IF(B10&lt;=0,0,IF(F10&lt;=0,"Add payment",IF(C10=0,ROUNDUP(B10/F10,0),IF(F10&lt;=B10*C10/12,"Payment too low",ROUNDUP(NPER(C10/12,-F10,B10),0)))))</x:f>
        <x:v>0</x:v>
      </x:c>
      <x:c r="H10" s="205" t="n">
        <x:v>6</x:v>
      </x:c>
      <x:c r="I10" s="207" t="str"/>
    </x:row>
    <x:row r="11">
      <x:c r="A11" s="171"/>
      <x:c r="B11" s="171"/>
      <x:c r="C11" s="171"/>
      <x:c r="D11" s="171"/>
      <x:c r="E11" s="171"/>
      <x:c r="F11" s="171"/>
      <x:c r="G11" s="171"/>
      <x:c r="H11" s="171"/>
      <x:c r="I11" s="171"/>
    </x:row>
    <x:row r="12">
      <x:c r="A12" s="219" t="str">
        <x:v>TOTAL</x:v>
      </x:c>
      <x:c r="B12" s="220" t="n">
        <x:f>SUM(B5:B10)</x:f>
        <x:v>3475000</x:v>
      </x:c>
      <x:c r="C12" s="220" t="str"/>
      <x:c r="D12" s="220" t="n">
        <x:f>SUM(D5:D10)</x:f>
        <x:v>41000</x:v>
      </x:c>
      <x:c r="E12" s="220" t="n">
        <x:f>SUM(E5:E10)</x:f>
        <x:v>7000</x:v>
      </x:c>
      <x:c r="F12" s="220" t="n">
        <x:f>SUM(F5:F10)</x:f>
        <x:v>48000</x:v>
      </x:c>
      <x:c r="G12" s="219"/>
      <x:c r="H12" s="219"/>
      <x:c r="I12" s="219"/>
    </x:row>
    <x:row r="13">
      <x:c r="A13" s="171"/>
      <x:c r="B13" s="171"/>
      <x:c r="C13" s="171"/>
      <x:c r="D13" s="171"/>
      <x:c r="E13" s="171"/>
      <x:c r="F13" s="171"/>
      <x:c r="G13" s="171"/>
      <x:c r="H13" s="171"/>
      <x:c r="I13" s="171"/>
    </x:row>
    <x:row r="14">
      <x:c r="A14" s="171"/>
      <x:c r="B14" s="171"/>
      <x:c r="C14" s="171"/>
      <x:c r="D14" s="171"/>
      <x:c r="E14" s="171"/>
      <x:c r="F14" s="171"/>
      <x:c r="G14" s="171"/>
      <x:c r="H14" s="171"/>
      <x:c r="I14" s="171"/>
    </x:row>
    <x:row r="15" ht="23" customHeight="1">
      <x:c r="A15" s="16" t="str">
        <x:v>Method guide</x:v>
      </x:c>
      <x:c r="B15" s="16" t="str">
        <x:v>Method guide</x:v>
      </x:c>
      <x:c r="C15" s="16" t="str">
        <x:v>Method guide</x:v>
      </x:c>
      <x:c r="D15" s="16" t="str">
        <x:v>Method guide</x:v>
      </x:c>
      <x:c r="E15" s="16" t="str">
        <x:v>Method guide</x:v>
      </x:c>
      <x:c r="F15" s="16" t="str">
        <x:v>Method guide</x:v>
      </x:c>
      <x:c r="G15" s="16" t="str">
        <x:v>Method guide</x:v>
      </x:c>
      <x:c r="H15" s="16" t="str">
        <x:v>Method guide</x:v>
      </x:c>
      <x:c r="I15" s="16" t="str">
        <x:v>Method guide</x:v>
      </x:c>
    </x:row>
    <x:row r="16" ht="25" customHeight="1">
      <x:c r="A16" s="21" t="str">
        <x:v>Method</x:v>
      </x:c>
      <x:c r="B16" s="21" t="str">
        <x:v>Best for</x:v>
      </x:c>
      <x:c r="C16" s="21" t="str">
        <x:v>How it works</x:v>
      </x:c>
      <x:c r="D16" s="21" t="str"/>
      <x:c r="E16" s="21" t="str"/>
      <x:c r="F16" s="21" t="str"/>
      <x:c r="G16" s="21" t="str"/>
      <x:c r="H16" s="21" t="str"/>
      <x:c r="I16" s="21" t="str"/>
    </x:row>
    <x:row r="17" ht="34" customHeight="1">
      <x:c r="A17" s="262" t="str">
        <x:v>Avalanche</x:v>
      </x:c>
      <x:c r="B17" s="262" t="str">
        <x:v>Lowest interest cost</x:v>
      </x:c>
      <x:c r="C17" s="262" t="str">
        <x:v>Pay extra toward the highest interest rate while maintaining minimums on every debt.</x:v>
      </x:c>
      <x:c r="D17" s="262" t="str"/>
      <x:c r="E17" s="262" t="str"/>
      <x:c r="F17" s="262" t="str"/>
      <x:c r="G17" s="262" t="str"/>
      <x:c r="H17" s="262" t="str"/>
      <x:c r="I17" s="262" t="str"/>
    </x:row>
    <x:row r="18" ht="34" customHeight="1">
      <x:c r="A18" s="262" t="str">
        <x:v>Snowball</x:v>
      </x:c>
      <x:c r="B18" s="262" t="str">
        <x:v>Motivation and quick wins</x:v>
      </x:c>
      <x:c r="C18" s="262" t="str">
        <x:v>Pay extra toward the smallest balance first, then roll that payment into the next debt.</x:v>
      </x:c>
      <x:c r="D18" s="262" t="str"/>
      <x:c r="E18" s="262" t="str"/>
      <x:c r="F18" s="262" t="str"/>
      <x:c r="G18" s="262" t="str"/>
      <x:c r="H18" s="262" t="str"/>
      <x:c r="I18" s="262" t="str"/>
    </x:row>
    <x:row r="19">
      <x:c r="A19" s="171"/>
      <x:c r="B19" s="171"/>
      <x:c r="C19" s="171"/>
      <x:c r="D19" s="171"/>
      <x:c r="E19" s="171"/>
      <x:c r="F19" s="171"/>
      <x:c r="G19" s="171"/>
      <x:c r="H19" s="171"/>
      <x:c r="I19" s="171"/>
    </x:row>
    <x:row r="20">
      <x:c r="A20" s="171"/>
      <x:c r="B20" s="171"/>
      <x:c r="C20" s="171"/>
      <x:c r="D20" s="171"/>
      <x:c r="E20" s="171"/>
      <x:c r="F20" s="171"/>
      <x:c r="G20" s="171"/>
      <x:c r="H20" s="171"/>
      <x:c r="I20" s="171"/>
    </x:row>
    <x:row r="21" ht="32" customHeight="1">
      <x:c r="A21" s="182" t="str">
        <x:v>Estimated months assume a stable interest rate and payment. Check lender terms, prepayment charges, taxes and emergency liquidity before accelerating secured loans.</x:v>
      </x:c>
      <x:c r="B21" s="182" t="str">
        <x:v>Estimated months assume a stable interest rate and payment. Check lender terms, prepayment charges, taxes and emergency liquidity before accelerating secured loans.</x:v>
      </x:c>
      <x:c r="C21" s="182" t="str">
        <x:v>Estimated months assume a stable interest rate and payment. Check lender terms, prepayment charges, taxes and emergency liquidity before accelerating secured loans.</x:v>
      </x:c>
      <x:c r="D21" s="182" t="str">
        <x:v>Estimated months assume a stable interest rate and payment. Check lender terms, prepayment charges, taxes and emergency liquidity before accelerating secured loans.</x:v>
      </x:c>
      <x:c r="E21" s="182" t="str">
        <x:v>Estimated months assume a stable interest rate and payment. Check lender terms, prepayment charges, taxes and emergency liquidity before accelerating secured loans.</x:v>
      </x:c>
      <x:c r="F21" s="182" t="str">
        <x:v>Estimated months assume a stable interest rate and payment. Check lender terms, prepayment charges, taxes and emergency liquidity before accelerating secured loans.</x:v>
      </x:c>
      <x:c r="G21" s="182" t="str">
        <x:v>Estimated months assume a stable interest rate and payment. Check lender terms, prepayment charges, taxes and emergency liquidity before accelerating secured loans.</x:v>
      </x:c>
      <x:c r="H21" s="182" t="str">
        <x:v>Estimated months assume a stable interest rate and payment. Check lender terms, prepayment charges, taxes and emergency liquidity before accelerating secured loans.</x:v>
      </x:c>
      <x:c r="I21" s="182" t="str">
        <x:v>Estimated months assume a stable interest rate and payment. Check lender terms, prepayment charges, taxes and emergency liquidity before accelerating secured loans.</x:v>
      </x:c>
    </x:row>
    <x:row r="22" ht="32" customHeight="1">
      <x:c r="A22" s="182" t="str">
        <x:v>Estimated months assume a stable interest rate and payment. Check lender terms, prepayment charges, taxes and emergency liquidity before accelerating secured loans.</x:v>
      </x:c>
      <x:c r="B22" s="182" t="str">
        <x:v>Estimated months assume a stable interest rate and payment. Check lender terms, prepayment charges, taxes and emergency liquidity before accelerating secured loans.</x:v>
      </x:c>
      <x:c r="C22" s="182" t="str">
        <x:v>Estimated months assume a stable interest rate and payment. Check lender terms, prepayment charges, taxes and emergency liquidity before accelerating secured loans.</x:v>
      </x:c>
      <x:c r="D22" s="182" t="str">
        <x:v>Estimated months assume a stable interest rate and payment. Check lender terms, prepayment charges, taxes and emergency liquidity before accelerating secured loans.</x:v>
      </x:c>
      <x:c r="E22" s="182" t="str">
        <x:v>Estimated months assume a stable interest rate and payment. Check lender terms, prepayment charges, taxes and emergency liquidity before accelerating secured loans.</x:v>
      </x:c>
      <x:c r="F22" s="182" t="str">
        <x:v>Estimated months assume a stable interest rate and payment. Check lender terms, prepayment charges, taxes and emergency liquidity before accelerating secured loans.</x:v>
      </x:c>
      <x:c r="G22" s="182" t="str">
        <x:v>Estimated months assume a stable interest rate and payment. Check lender terms, prepayment charges, taxes and emergency liquidity before accelerating secured loans.</x:v>
      </x:c>
      <x:c r="H22" s="182" t="str">
        <x:v>Estimated months assume a stable interest rate and payment. Check lender terms, prepayment charges, taxes and emergency liquidity before accelerating secured loans.</x:v>
      </x:c>
      <x:c r="I22" s="182" t="str">
        <x:v>Estimated months assume a stable interest rate and payment. Check lender terms, prepayment charges, taxes and emergency liquidity before accelerating secured loans.</x:v>
      </x:c>
    </x:row>
  </x:sheetData>
  <x:mergeCells>
    <x:mergeCell ref="A1:I1"/>
    <x:mergeCell ref="A2:I2"/>
    <x:mergeCell ref="A15:I15"/>
    <x:mergeCell ref="C16:I16"/>
    <x:mergeCell ref="C17:I17"/>
    <x:mergeCell ref="C18:I18"/>
    <x:mergeCell ref="A21:I2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20" hidden="0" customWidth="1"/>
    <x:col min="4" max="4" width="18" hidden="0" customWidth="1"/>
    <x:col min="5" max="5" width="18" hidden="0" customWidth="1"/>
    <x:col min="6" max="6" width="19" hidden="0" customWidth="1"/>
    <x:col min="7" max="7" width="20" hidden="0" customWidth="1"/>
    <x:col min="8" max="8" width="29" hidden="0" customWidth="1"/>
  </x:cols>
  <x:sheetData>
    <x:row r="1" ht="36" customHeight="1">
      <x:c r="A1" s="4" t="str">
        <x:v>Insurance &amp; Protection Review</x:v>
      </x:c>
      <x:c r="B1" s="4" t="str">
        <x:v>Insurance &amp; Protection Review</x:v>
      </x:c>
      <x:c r="C1" s="4" t="str">
        <x:v>Insurance &amp; Protection Review</x:v>
      </x:c>
      <x:c r="D1" s="4" t="str">
        <x:v>Insurance &amp; Protection Review</x:v>
      </x:c>
      <x:c r="E1" s="4" t="str">
        <x:v>Insurance &amp; Protection Review</x:v>
      </x:c>
      <x:c r="F1" s="4" t="str">
        <x:v>Insurance &amp; Protection Review</x:v>
      </x:c>
      <x:c r="G1" s="4" t="str">
        <x:v>Insurance &amp; Protection Review</x:v>
      </x:c>
      <x:c r="H1" s="4" t="str">
        <x:v>Insurance &amp; Protection Review</x:v>
      </x:c>
    </x:row>
    <x:row r="2" ht="27" customHeight="1">
      <x:c r="A2" s="170" t="str">
        <x:v>A coverage inventory and action checklist. This does not calculate or recommend a specific policy.</x:v>
      </x:c>
      <x:c r="B2" s="170" t="str">
        <x:v>A coverage inventory and action checklist. This does not calculate or recommend a specific policy.</x:v>
      </x:c>
      <x:c r="C2" s="170" t="str">
        <x:v>A coverage inventory and action checklist. This does not calculate or recommend a specific policy.</x:v>
      </x:c>
      <x:c r="D2" s="170" t="str">
        <x:v>A coverage inventory and action checklist. This does not calculate or recommend a specific policy.</x:v>
      </x:c>
      <x:c r="E2" s="170" t="str">
        <x:v>A coverage inventory and action checklist. This does not calculate or recommend a specific policy.</x:v>
      </x:c>
      <x:c r="F2" s="170" t="str">
        <x:v>A coverage inventory and action checklist. This does not calculate or recommend a specific policy.</x:v>
      </x:c>
      <x:c r="G2" s="170" t="str">
        <x:v>A coverage inventory and action checklist. This does not calculate or recommend a specific policy.</x:v>
      </x:c>
      <x:c r="H2" s="170" t="str">
        <x:v>A coverage inventory and action checklist. This does not calculate or recommend a specific policy.</x:v>
      </x:c>
    </x:row>
    <x:row r="3">
      <x:c r="A3" s="171"/>
      <x:c r="B3" s="171"/>
      <x:c r="C3" s="171"/>
      <x:c r="D3" s="171"/>
      <x:c r="E3" s="171"/>
      <x:c r="F3" s="171"/>
      <x:c r="G3" s="171"/>
      <x:c r="H3" s="171"/>
    </x:row>
    <x:row r="4" ht="25" customHeight="1">
      <x:c r="A4" s="21" t="str">
        <x:v>Cover type</x:v>
      </x:c>
      <x:c r="B4" s="21" t="str">
        <x:v>Insurer / provider</x:v>
      </x:c>
      <x:c r="C4" s="21" t="str">
        <x:v>Sum insured</x:v>
      </x:c>
      <x:c r="D4" s="21" t="str">
        <x:v>Annual premium</x:v>
      </x:c>
      <x:c r="E4" s="21" t="str">
        <x:v>Renewal date</x:v>
      </x:c>
      <x:c r="F4" s="21" t="str">
        <x:v>Nominee checked?</x:v>
      </x:c>
      <x:c r="G4" s="21" t="str">
        <x:v>Adequacy status</x:v>
      </x:c>
      <x:c r="H4" s="21" t="str">
        <x:v>Action / notes</x:v>
      </x:c>
    </x:row>
    <x:row r="5">
      <x:c r="A5" s="199" t="str">
        <x:v>Health - family</x:v>
      </x:c>
      <x:c r="B5" s="200" t="str"/>
      <x:c r="C5" s="221" t="n">
        <x:v>1000000</x:v>
      </x:c>
      <x:c r="D5" s="221" t="n">
        <x:v>25000</x:v>
      </x:c>
      <x:c r="E5" s="263" t="n">
        <x:v>46327</x:v>
      </x:c>
      <x:c r="F5" s="200" t="str">
        <x:v>Yes</x:v>
      </x:c>
      <x:c r="G5" s="200" t="str">
        <x:v>Review</x:v>
      </x:c>
      <x:c r="H5" s="201" t="str">
        <x:v>Check exclusions and room limits</x:v>
      </x:c>
    </x:row>
    <x:row r="6">
      <x:c r="A6" s="202" t="str">
        <x:v>Term life</x:v>
      </x:c>
      <x:c r="B6" s="203" t="str"/>
      <x:c r="C6" s="222" t="n">
        <x:v>10000000</x:v>
      </x:c>
      <x:c r="D6" s="222" t="n">
        <x:v>18000</x:v>
      </x:c>
      <x:c r="E6" s="264" t="n">
        <x:v>46419</x:v>
      </x:c>
      <x:c r="F6" s="203" t="str">
        <x:v>Yes</x:v>
      </x:c>
      <x:c r="G6" s="203" t="str">
        <x:v>Review</x:v>
      </x:c>
      <x:c r="H6" s="204" t="str">
        <x:v>Compare with dependants and liabilities</x:v>
      </x:c>
    </x:row>
    <x:row r="7">
      <x:c r="A7" s="202" t="str">
        <x:v>Personal accident</x:v>
      </x:c>
      <x:c r="B7" s="203" t="str"/>
      <x:c r="C7" s="222" t="n">
        <x:v>2500000</x:v>
      </x:c>
      <x:c r="D7" s="222" t="n">
        <x:v>5000</x:v>
      </x:c>
      <x:c r="E7" s="264" t="n">
        <x:v>46357</x:v>
      </x:c>
      <x:c r="F7" s="203" t="str">
        <x:v>No</x:v>
      </x:c>
      <x:c r="G7" s="203" t="str">
        <x:v>Gap</x:v>
      </x:c>
      <x:c r="H7" s="204" t="str">
        <x:v>Add nominee</x:v>
      </x:c>
    </x:row>
    <x:row r="8">
      <x:c r="A8" s="202" t="str">
        <x:v>Critical illness</x:v>
      </x:c>
      <x:c r="B8" s="203" t="str"/>
      <x:c r="C8" s="222" t="n">
        <x:v>0</x:v>
      </x:c>
      <x:c r="D8" s="222" t="n">
        <x:v>0</x:v>
      </x:c>
      <x:c r="E8" s="264"/>
      <x:c r="F8" s="203" t="str">
        <x:v>No</x:v>
      </x:c>
      <x:c r="G8" s="203" t="str">
        <x:v>Not held</x:v>
      </x:c>
      <x:c r="H8" s="204" t="str">
        <x:v>Consider need</x:v>
      </x:c>
    </x:row>
    <x:row r="9">
      <x:c r="A9" s="202" t="str">
        <x:v>Motor</x:v>
      </x:c>
      <x:c r="B9" s="203" t="str"/>
      <x:c r="C9" s="222" t="n">
        <x:v>500000</x:v>
      </x:c>
      <x:c r="D9" s="222" t="n">
        <x:v>12000</x:v>
      </x:c>
      <x:c r="E9" s="264" t="n">
        <x:v>46266</x:v>
      </x:c>
      <x:c r="F9" s="203" t="str">
        <x:v>Yes</x:v>
      </x:c>
      <x:c r="G9" s="203" t="str">
        <x:v>OK</x:v>
      </x:c>
      <x:c r="H9" s="204" t="str"/>
    </x:row>
    <x:row r="10">
      <x:c r="A10" s="202" t="str">
        <x:v>Home / property</x:v>
      </x:c>
      <x:c r="B10" s="203" t="str"/>
      <x:c r="C10" s="222" t="n">
        <x:v>0</x:v>
      </x:c>
      <x:c r="D10" s="222" t="n">
        <x:v>0</x:v>
      </x:c>
      <x:c r="E10" s="264"/>
      <x:c r="F10" s="203" t="str">
        <x:v>No</x:v>
      </x:c>
      <x:c r="G10" s="203" t="str">
        <x:v>Review</x:v>
      </x:c>
      <x:c r="H10" s="204" t="str"/>
    </x:row>
    <x:row r="11">
      <x:c r="A11" s="205" t="str">
        <x:v>Other</x:v>
      </x:c>
      <x:c r="B11" s="206" t="str"/>
      <x:c r="C11" s="223" t="n">
        <x:v>0</x:v>
      </x:c>
      <x:c r="D11" s="223" t="n">
        <x:v>0</x:v>
      </x:c>
      <x:c r="E11" s="265"/>
      <x:c r="F11" s="206" t="str">
        <x:v>No</x:v>
      </x:c>
      <x:c r="G11" s="206" t="str">
        <x:v>Review</x:v>
      </x:c>
      <x:c r="H11" s="207" t="str"/>
    </x:row>
    <x:row r="12">
      <x:c r="A12" s="171"/>
      <x:c r="B12" s="171"/>
      <x:c r="C12" s="171"/>
      <x:c r="D12" s="171"/>
      <x:c r="E12" s="171"/>
      <x:c r="F12" s="171"/>
      <x:c r="G12" s="171"/>
      <x:c r="H12" s="171"/>
    </x:row>
    <x:row r="13">
      <x:c r="A13" s="171"/>
      <x:c r="B13" s="171"/>
      <x:c r="C13" s="171"/>
      <x:c r="D13" s="171"/>
      <x:c r="E13" s="171"/>
      <x:c r="F13" s="171"/>
      <x:c r="G13" s="171"/>
      <x:c r="H13" s="171"/>
    </x:row>
    <x:row r="14" ht="23" customHeight="1">
      <x:c r="A14" s="16" t="str">
        <x:v>Protection checklist</x:v>
      </x:c>
      <x:c r="B14" s="16" t="str">
        <x:v>Protection checklist</x:v>
      </x:c>
      <x:c r="C14" s="16" t="str">
        <x:v>Protection checklist</x:v>
      </x:c>
      <x:c r="D14" s="16" t="str">
        <x:v>Protection checklist</x:v>
      </x:c>
      <x:c r="E14" s="16" t="str">
        <x:v>Protection checklist</x:v>
      </x:c>
      <x:c r="F14" s="16" t="str">
        <x:v>Protection checklist</x:v>
      </x:c>
      <x:c r="G14" s="16" t="str">
        <x:v>Protection checklist</x:v>
      </x:c>
      <x:c r="H14" s="16" t="str">
        <x:v>Protection checklist</x:v>
      </x:c>
    </x:row>
    <x:row r="15" ht="25" customHeight="1">
      <x:c r="A15" s="21" t="str">
        <x:v>Review item</x:v>
      </x:c>
      <x:c r="B15" s="21" t="str">
        <x:v>Status</x:v>
      </x:c>
      <x:c r="C15" s="21" t="str">
        <x:v>Due date</x:v>
      </x:c>
      <x:c r="D15" s="21" t="str">
        <x:v>Next action</x:v>
      </x:c>
      <x:c r="E15" s="171"/>
      <x:c r="F15" s="171"/>
      <x:c r="G15" s="171"/>
      <x:c r="H15" s="171"/>
    </x:row>
    <x:row r="16" ht="32" customHeight="1">
      <x:c r="A16" s="171" t="str">
        <x:v>Emergency contacts documented</x:v>
      </x:c>
      <x:c r="B16" s="199" t="str">
        <x:v>Not started</x:v>
      </x:c>
      <x:c r="C16" s="263"/>
      <x:c r="D16" s="201" t="str"/>
      <x:c r="E16" s="171"/>
      <x:c r="F16" s="182" t="str">
        <x:v>Never store policy passwords or identity documents in this workbook. Record only enough information to guide a review and keep secure records separately.</x:v>
      </x:c>
      <x:c r="G16" s="182" t="str">
        <x:v>Never store policy passwords or identity documents in this workbook. Record only enough information to guide a review and keep secure records separately.</x:v>
      </x:c>
      <x:c r="H16" s="182" t="str">
        <x:v>Never store policy passwords or identity documents in this workbook. Record only enough information to guide a review and keep secure records separately.</x:v>
      </x:c>
    </x:row>
    <x:row r="17" ht="32" customHeight="1">
      <x:c r="A17" s="171" t="str">
        <x:v>Nominees updated across accounts</x:v>
      </x:c>
      <x:c r="B17" s="202" t="str">
        <x:v>In progress</x:v>
      </x:c>
      <x:c r="C17" s="264"/>
      <x:c r="D17" s="204" t="str"/>
      <x:c r="E17" s="171"/>
      <x:c r="F17" s="182" t="str">
        <x:v>Never store policy passwords or identity documents in this workbook. Record only enough information to guide a review and keep secure records separately.</x:v>
      </x:c>
      <x:c r="G17" s="182" t="str">
        <x:v>Never store policy passwords or identity documents in this workbook. Record only enough information to guide a review and keep secure records separately.</x:v>
      </x:c>
      <x:c r="H17" s="182" t="str">
        <x:v>Never store policy passwords or identity documents in this workbook. Record only enough information to guide a review and keep secure records separately.</x:v>
      </x:c>
    </x:row>
    <x:row r="18" ht="32" customHeight="1">
      <x:c r="A18" s="171" t="str">
        <x:v>Will / estate basics reviewed</x:v>
      </x:c>
      <x:c r="B18" s="202" t="str">
        <x:v>Not started</x:v>
      </x:c>
      <x:c r="C18" s="264"/>
      <x:c r="D18" s="204" t="str"/>
      <x:c r="E18" s="171"/>
      <x:c r="F18" s="182" t="str">
        <x:v>Never store policy passwords or identity documents in this workbook. Record only enough information to guide a review and keep secure records separately.</x:v>
      </x:c>
      <x:c r="G18" s="182" t="str">
        <x:v>Never store policy passwords or identity documents in this workbook. Record only enough information to guide a review and keep secure records separately.</x:v>
      </x:c>
      <x:c r="H18" s="182" t="str">
        <x:v>Never store policy passwords or identity documents in this workbook. Record only enough information to guide a review and keep secure records separately.</x:v>
      </x:c>
    </x:row>
    <x:row r="19" ht="32" customHeight="1">
      <x:c r="A19" s="171" t="str">
        <x:v>Important documents indexed</x:v>
      </x:c>
      <x:c r="B19" s="202" t="str">
        <x:v>Not started</x:v>
      </x:c>
      <x:c r="C19" s="264"/>
      <x:c r="D19" s="204" t="str"/>
      <x:c r="E19" s="171"/>
      <x:c r="F19" s="182" t="str">
        <x:v>Never store policy passwords or identity documents in this workbook. Record only enough information to guide a review and keep secure records separately.</x:v>
      </x:c>
      <x:c r="G19" s="182" t="str">
        <x:v>Never store policy passwords or identity documents in this workbook. Record only enough information to guide a review and keep secure records separately.</x:v>
      </x:c>
      <x:c r="H19" s="182" t="str">
        <x:v>Never store policy passwords or identity documents in this workbook. Record only enough information to guide a review and keep secure records separately.</x:v>
      </x:c>
    </x:row>
    <x:row r="20" ht="32" customHeight="1">
      <x:c r="A20" s="171" t="str">
        <x:v>Family knows how to access records</x:v>
      </x:c>
      <x:c r="B20" s="202" t="str">
        <x:v>Not started</x:v>
      </x:c>
      <x:c r="C20" s="264"/>
      <x:c r="D20" s="204" t="str"/>
      <x:c r="E20" s="171"/>
      <x:c r="F20" s="182" t="str">
        <x:v>Never store policy passwords or identity documents in this workbook. Record only enough information to guide a review and keep secure records separately.</x:v>
      </x:c>
      <x:c r="G20" s="182" t="str">
        <x:v>Never store policy passwords or identity documents in this workbook. Record only enough information to guide a review and keep secure records separately.</x:v>
      </x:c>
      <x:c r="H20" s="182" t="str">
        <x:v>Never store policy passwords or identity documents in this workbook. Record only enough information to guide a review and keep secure records separately.</x:v>
      </x:c>
    </x:row>
    <x:row r="21">
      <x:c r="A21" s="171" t="str">
        <x:v>Digital account recovery planned</x:v>
      </x:c>
      <x:c r="B21" s="202" t="str">
        <x:v>Not started</x:v>
      </x:c>
      <x:c r="C21" s="264"/>
      <x:c r="D21" s="204" t="str"/>
      <x:c r="E21" s="171"/>
      <x:c r="F21" s="171"/>
      <x:c r="G21" s="171"/>
      <x:c r="H21" s="171"/>
    </x:row>
    <x:row r="22">
      <x:c r="A22" s="171" t="str">
        <x:v>Coverage reviewed after major life event</x:v>
      </x:c>
      <x:c r="B22" s="205" t="str">
        <x:v>Not started</x:v>
      </x:c>
      <x:c r="C22" s="265"/>
      <x:c r="D22" s="207" t="str"/>
      <x:c r="E22" s="171"/>
      <x:c r="F22" s="171"/>
      <x:c r="G22" s="171"/>
      <x:c r="H22" s="171"/>
    </x:row>
  </x:sheetData>
  <x:mergeCells>
    <x:mergeCell ref="A1:H1"/>
    <x:mergeCell ref="A2:H2"/>
    <x:mergeCell ref="A14:H14"/>
    <x:mergeCell ref="F16:H20"/>
  </x:mergeCells>
  <x:conditionalFormatting sqref="G5:G11">
    <x:cfRule type="containsText" dxfId="1" priority="1" operator="containsText" text="Gap"/>
  </x:conditionalFormatting>
  <x:dataValidations count="3">
    <x:dataValidation type="list" sqref="F5:F11">
      <x:formula1>"Yes,No,Not applicable"</x:formula1>
    </x:dataValidation>
    <x:dataValidation type="list" sqref="G5:G11">
      <x:formula1>"OK,Review,Gap,Not held"</x:formula1>
    </x:dataValidation>
    <x:dataValidation type="list" sqref="B16:B22">
      <x:formula1>"Not started,In progress,Complete,Not applicable"</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34" hidden="0" customWidth="1"/>
    <x:col min="2" max="2" width="21" hidden="0" customWidth="1"/>
    <x:col min="3" max="3" width="4" hidden="0" customWidth="1"/>
    <x:col min="4" max="4" width="35" hidden="0" customWidth="1"/>
    <x:col min="5" max="5" width="22" hidden="0" customWidth="1"/>
    <x:col min="6" max="6" width="4" hidden="0" customWidth="1"/>
    <x:col min="7" max="7" width="20" hidden="0" customWidth="1"/>
    <x:col min="8" max="8" width="20" hidden="0" customWidth="1"/>
  </x:cols>
  <x:sheetData>
    <x:row r="1" ht="36" customHeight="1">
      <x:c r="A1" s="4" t="str">
        <x:v>Retirement Readiness Planner</x:v>
      </x:c>
      <x:c r="B1" s="4" t="str">
        <x:v>Retirement Readiness Planner</x:v>
      </x:c>
      <x:c r="C1" s="4" t="str">
        <x:v>Retirement Readiness Planner</x:v>
      </x:c>
      <x:c r="D1" s="4" t="str">
        <x:v>Retirement Readiness Planner</x:v>
      </x:c>
      <x:c r="E1" s="4" t="str">
        <x:v>Retirement Readiness Planner</x:v>
      </x:c>
      <x:c r="F1" s="4" t="str">
        <x:v>Retirement Readiness Planner</x:v>
      </x:c>
      <x:c r="G1" s="4" t="str">
        <x:v>Retirement Readiness Planner</x:v>
      </x:c>
      <x:c r="H1" s="4" t="str">
        <x:v>Retirement Readiness Planner</x:v>
      </x:c>
    </x:row>
    <x:row r="2" ht="27" customHeight="1">
      <x:c r="A2" s="170" t="str">
        <x:v>Estimate a long-term corpus and monthly investment requirement using transparent assumptions.</x:v>
      </x:c>
      <x:c r="B2" s="170" t="str">
        <x:v>Estimate a long-term corpus and monthly investment requirement using transparent assumptions.</x:v>
      </x:c>
      <x:c r="C2" s="170" t="str">
        <x:v>Estimate a long-term corpus and monthly investment requirement using transparent assumptions.</x:v>
      </x:c>
      <x:c r="D2" s="170" t="str">
        <x:v>Estimate a long-term corpus and monthly investment requirement using transparent assumptions.</x:v>
      </x:c>
      <x:c r="E2" s="170" t="str">
        <x:v>Estimate a long-term corpus and monthly investment requirement using transparent assumptions.</x:v>
      </x:c>
      <x:c r="F2" s="170" t="str">
        <x:v>Estimate a long-term corpus and monthly investment requirement using transparent assumptions.</x:v>
      </x:c>
      <x:c r="G2" s="170" t="str">
        <x:v>Estimate a long-term corpus and monthly investment requirement using transparent assumptions.</x:v>
      </x:c>
      <x:c r="H2" s="170" t="str">
        <x:v>Estimate a long-term corpus and monthly investment requirement using transparent assumptions.</x:v>
      </x:c>
    </x:row>
    <x:row r="3">
      <x:c r="A3" s="171"/>
      <x:c r="B3" s="171"/>
      <x:c r="C3" s="171"/>
      <x:c r="D3" s="171"/>
      <x:c r="E3" s="171"/>
      <x:c r="F3" s="171"/>
      <x:c r="G3" s="171"/>
      <x:c r="H3" s="171"/>
    </x:row>
    <x:row r="4" ht="23" customHeight="1">
      <x:c r="A4" s="16" t="str">
        <x:v>Inputs</x:v>
      </x:c>
      <x:c r="B4" s="16" t="str">
        <x:v>Inputs</x:v>
      </x:c>
      <x:c r="C4" s="171"/>
      <x:c r="D4" s="16" t="str">
        <x:v>Calculated plan</x:v>
      </x:c>
      <x:c r="E4" s="16" t="str">
        <x:v>Calculated plan</x:v>
      </x:c>
      <x:c r="F4" s="171"/>
      <x:c r="G4" s="171"/>
      <x:c r="H4" s="171"/>
    </x:row>
    <x:row r="5" ht="25" customHeight="1">
      <x:c r="A5" s="171" t="str">
        <x:v>Current age</x:v>
      </x:c>
      <x:c r="B5" s="266" t="n">
        <x:v>32</x:v>
      </x:c>
      <x:c r="C5" s="171"/>
      <x:c r="D5" s="21" t="str">
        <x:v>Output</x:v>
      </x:c>
      <x:c r="E5" s="21" t="str">
        <x:v>Estimate</x:v>
      </x:c>
      <x:c r="F5" s="171"/>
      <x:c r="G5" s="171"/>
      <x:c r="H5" s="171"/>
    </x:row>
    <x:row r="6">
      <x:c r="A6" s="171" t="str">
        <x:v>Retirement age</x:v>
      </x:c>
      <x:c r="B6" s="196" t="n">
        <x:v>60</x:v>
      </x:c>
      <x:c r="C6" s="171"/>
      <x:c r="D6" s="171" t="str">
        <x:v>Years to retirement</x:v>
      </x:c>
      <x:c r="E6" s="267" t="n">
        <x:f>MAX(0,B6-B5)</x:f>
        <x:v>28</x:v>
      </x:c>
      <x:c r="F6" s="171"/>
      <x:c r="G6" s="171"/>
      <x:c r="H6" s="171"/>
    </x:row>
    <x:row r="7">
      <x:c r="A7" s="171" t="str">
        <x:v>Life expectancy</x:v>
      </x:c>
      <x:c r="B7" s="196" t="n">
        <x:v>85</x:v>
      </x:c>
      <x:c r="C7" s="171"/>
      <x:c r="D7" s="171" t="str">
        <x:v>Years in retirement</x:v>
      </x:c>
      <x:c r="E7" s="268" t="n">
        <x:f>MAX(0,B7-B6)</x:f>
        <x:v>25</x:v>
      </x:c>
      <x:c r="F7" s="171"/>
      <x:c r="G7" s="171"/>
      <x:c r="H7" s="171"/>
    </x:row>
    <x:row r="8">
      <x:c r="A8" s="171" t="str">
        <x:v>Current monthly living cost</x:v>
      </x:c>
      <x:c r="B8" s="233" t="n">
        <x:v>65000</x:v>
      </x:c>
      <x:c r="C8" s="171"/>
      <x:c r="D8" s="171" t="str">
        <x:v>Monthly expense at retirement</x:v>
      </x:c>
      <x:c r="E8" s="247" t="n">
        <x:f>B8*(1+B11)^E6</x:f>
        <x:v>332259.6353144907</x:v>
      </x:c>
      <x:c r="F8" s="171"/>
      <x:c r="G8" s="171"/>
      <x:c r="H8" s="171"/>
    </x:row>
    <x:row r="9">
      <x:c r="A9" s="171" t="str">
        <x:v>Current retirement savings</x:v>
      </x:c>
      <x:c r="B9" s="233" t="n">
        <x:v>800000</x:v>
      </x:c>
      <x:c r="C9" s="171"/>
      <x:c r="D9" s="171" t="str">
        <x:v>First-year retirement expense</x:v>
      </x:c>
      <x:c r="E9" s="247" t="n">
        <x:f>E8*12</x:f>
        <x:v>3987115.6237738887</x:v>
      </x:c>
      <x:c r="F9" s="171"/>
      <x:c r="G9" s="171"/>
      <x:c r="H9" s="171"/>
    </x:row>
    <x:row r="10">
      <x:c r="A10" s="171" t="str">
        <x:v>Current monthly retirement investment</x:v>
      </x:c>
      <x:c r="B10" s="233" t="n">
        <x:v>18000</x:v>
      </x:c>
      <x:c r="C10" s="171"/>
      <x:c r="D10" s="171" t="str">
        <x:v>Required corpus (real-return method)</x:v>
      </x:c>
      <x:c r="E10" s="247" t="n">
        <x:f>IF(B13&lt;=B11,"Review assumptions",E9/(B13-B11))</x:f>
        <x:v>398711562.37738854</x:v>
      </x:c>
      <x:c r="F10" s="171"/>
      <x:c r="G10" s="171"/>
      <x:c r="H10" s="171"/>
    </x:row>
    <x:row r="11">
      <x:c r="A11" s="171" t="str">
        <x:v>Inflation before retirement</x:v>
      </x:c>
      <x:c r="B11" s="194" t="n">
        <x:v>0.06</x:v>
      </x:c>
      <x:c r="C11" s="171"/>
      <x:c r="D11" s="171" t="str">
        <x:v>Future value of savings</x:v>
      </x:c>
      <x:c r="E11" s="247" t="n">
        <x:f>B9*(1+B12)^E6</x:f>
        <x:v>11536794.888519965</x:v>
      </x:c>
      <x:c r="F11" s="171"/>
      <x:c r="G11" s="171"/>
      <x:c r="H11" s="171"/>
    </x:row>
    <x:row r="12">
      <x:c r="A12" s="171" t="str">
        <x:v>Return before retirement</x:v>
      </x:c>
      <x:c r="B12" s="194" t="n">
        <x:v>0.1</x:v>
      </x:c>
      <x:c r="C12" s="171"/>
      <x:c r="D12" s="171" t="str">
        <x:v>Future value of current contributions</x:v>
      </x:c>
      <x:c r="E12" s="247" t="n">
        <x:f>IF(B12=0,B10*12*E6,B10*(((1+B12/12)^(E6*12)-1)/(B12/12)))</x:f>
        <x:v>32950701.40836855</x:v>
      </x:c>
      <x:c r="F12" s="171"/>
      <x:c r="G12" s="171"/>
      <x:c r="H12" s="171"/>
    </x:row>
    <x:row r="13">
      <x:c r="A13" s="171" t="str">
        <x:v>Return after retirement</x:v>
      </x:c>
      <x:c r="B13" s="198" t="n">
        <x:v>0.07</x:v>
      </x:c>
      <x:c r="C13" s="171"/>
      <x:c r="D13" s="171" t="str">
        <x:v>Remaining corpus gap</x:v>
      </x:c>
      <x:c r="E13" s="247" t="n">
        <x:f>IF(ISNUMBER(E10),MAX(0,E10-E11-E12),0)</x:f>
        <x:v>354224066.08050007</x:v>
      </x:c>
      <x:c r="F13" s="171"/>
      <x:c r="G13" s="171"/>
      <x:c r="H13" s="171"/>
    </x:row>
    <x:row r="14">
      <x:c r="A14" s="171"/>
      <x:c r="B14" s="171"/>
      <x:c r="C14" s="171"/>
      <x:c r="D14" s="171" t="str">
        <x:v>Additional monthly investment</x:v>
      </x:c>
      <x:c r="E14" s="236" t="n">
        <x:f>IF(E6=0,0,IF(B12=0,E13/(E6*12),E13/(((1+B12/12)^(E6*12)-1)/(B12/12))))</x:f>
        <x:v>193502.19925302314</x:v>
      </x:c>
      <x:c r="F14" s="171"/>
      <x:c r="G14" s="171"/>
      <x:c r="H14" s="171"/>
    </x:row>
    <x:row r="15">
      <x:c r="A15" s="171"/>
      <x:c r="B15" s="171"/>
      <x:c r="C15" s="171"/>
      <x:c r="D15" s="171"/>
      <x:c r="E15" s="171"/>
      <x:c r="F15" s="171"/>
      <x:c r="G15" s="171"/>
      <x:c r="H15" s="171"/>
    </x:row>
    <x:row r="16" ht="23" customHeight="1">
      <x:c r="A16" s="16" t="str">
        <x:v>Readiness summary</x:v>
      </x:c>
      <x:c r="B16" s="16" t="str">
        <x:v>Readiness summary</x:v>
      </x:c>
      <x:c r="C16" s="16" t="str">
        <x:v>Readiness summary</x:v>
      </x:c>
      <x:c r="D16" s="16" t="str">
        <x:v>Readiness summary</x:v>
      </x:c>
      <x:c r="E16" s="16" t="str">
        <x:v>Readiness summary</x:v>
      </x:c>
      <x:c r="F16" s="16" t="str">
        <x:v>Readiness summary</x:v>
      </x:c>
      <x:c r="G16" s="16" t="str">
        <x:v>Readiness summary</x:v>
      </x:c>
      <x:c r="H16" s="16" t="str">
        <x:v>Readiness summary</x:v>
      </x:c>
    </x:row>
    <x:row r="17" ht="25" customHeight="1">
      <x:c r="A17" s="21" t="str">
        <x:v>Metric</x:v>
      </x:c>
      <x:c r="B17" s="21" t="str">
        <x:v>Result</x:v>
      </x:c>
      <x:c r="C17" s="171"/>
      <x:c r="D17" s="171"/>
      <x:c r="E17" s="171"/>
      <x:c r="F17" s="171"/>
      <x:c r="G17" s="171"/>
      <x:c r="H17" s="171"/>
    </x:row>
    <x:row r="18" ht="32" customHeight="1">
      <x:c r="A18" s="171" t="str">
        <x:v>Total monthly investment needed</x:v>
      </x:c>
      <x:c r="B18" s="234" t="n">
        <x:f>B10+E14</x:f>
        <x:v>211502.19925302314</x:v>
      </x:c>
      <x:c r="C18" s="171"/>
      <x:c r="D18" s="182" t="str">
        <x:v>The real-return method is a simplified planning estimate. It does not model taxes, changing expenses, pension income, market sequence risk or asset allocation. Use conservative assumptions and review yearly.</x:v>
      </x:c>
      <x:c r="E18" s="182" t="str">
        <x:v>The real-return method is a simplified planning estimate. It does not model taxes, changing expenses, pension income, market sequence risk or asset allocation. Use conservative assumptions and review yearly.</x:v>
      </x:c>
      <x:c r="F18" s="182" t="str">
        <x:v>The real-return method is a simplified planning estimate. It does not model taxes, changing expenses, pension income, market sequence risk or asset allocation. Use conservative assumptions and review yearly.</x:v>
      </x:c>
      <x:c r="G18" s="182" t="str">
        <x:v>The real-return method is a simplified planning estimate. It does not model taxes, changing expenses, pension income, market sequence risk or asset allocation. Use conservative assumptions and review yearly.</x:v>
      </x:c>
      <x:c r="H18" s="182" t="str">
        <x:v>The real-return method is a simplified planning estimate. It does not model taxes, changing expenses, pension income, market sequence risk or asset allocation. Use conservative assumptions and review yearly.</x:v>
      </x:c>
    </x:row>
    <x:row r="19" ht="32" customHeight="1">
      <x:c r="A19" s="171" t="str">
        <x:v>Current monthly investment</x:v>
      </x:c>
      <x:c r="B19" s="247" t="n">
        <x:f>B10</x:f>
        <x:v>18000</x:v>
      </x:c>
      <x:c r="C19" s="171"/>
      <x:c r="D19" s="182" t="str">
        <x:v>The real-return method is a simplified planning estimate. It does not model taxes, changing expenses, pension income, market sequence risk or asset allocation. Use conservative assumptions and review yearly.</x:v>
      </x:c>
      <x:c r="E19" s="182" t="str">
        <x:v>The real-return method is a simplified planning estimate. It does not model taxes, changing expenses, pension income, market sequence risk or asset allocation. Use conservative assumptions and review yearly.</x:v>
      </x:c>
      <x:c r="F19" s="182" t="str">
        <x:v>The real-return method is a simplified planning estimate. It does not model taxes, changing expenses, pension income, market sequence risk or asset allocation. Use conservative assumptions and review yearly.</x:v>
      </x:c>
      <x:c r="G19" s="182" t="str">
        <x:v>The real-return method is a simplified planning estimate. It does not model taxes, changing expenses, pension income, market sequence risk or asset allocation. Use conservative assumptions and review yearly.</x:v>
      </x:c>
      <x:c r="H19" s="182" t="str">
        <x:v>The real-return method is a simplified planning estimate. It does not model taxes, changing expenses, pension income, market sequence risk or asset allocation. Use conservative assumptions and review yearly.</x:v>
      </x:c>
    </x:row>
    <x:row r="20" ht="32" customHeight="1">
      <x:c r="A20" s="171" t="str">
        <x:v>Readiness status</x:v>
      </x:c>
      <x:c r="B20" s="269" t="str">
        <x:f>IF(E14=0,"On track for these assumptions",IF(B10=0,"Start investing","Increase contribution"))</x:f>
        <x:v>Increase contribution</x:v>
      </x:c>
      <x:c r="C20" s="171"/>
      <x:c r="D20" s="182" t="str">
        <x:v>The real-return method is a simplified planning estimate. It does not model taxes, changing expenses, pension income, market sequence risk or asset allocation. Use conservative assumptions and review yearly.</x:v>
      </x:c>
      <x:c r="E20" s="182" t="str">
        <x:v>The real-return method is a simplified planning estimate. It does not model taxes, changing expenses, pension income, market sequence risk or asset allocation. Use conservative assumptions and review yearly.</x:v>
      </x:c>
      <x:c r="F20" s="182" t="str">
        <x:v>The real-return method is a simplified planning estimate. It does not model taxes, changing expenses, pension income, market sequence risk or asset allocation. Use conservative assumptions and review yearly.</x:v>
      </x:c>
      <x:c r="G20" s="182" t="str">
        <x:v>The real-return method is a simplified planning estimate. It does not model taxes, changing expenses, pension income, market sequence risk or asset allocation. Use conservative assumptions and review yearly.</x:v>
      </x:c>
      <x:c r="H20" s="182" t="str">
        <x:v>The real-return method is a simplified planning estimate. It does not model taxes, changing expenses, pension income, market sequence risk or asset allocation. Use conservative assumptions and review yearly.</x:v>
      </x:c>
    </x:row>
    <x:row r="21" ht="32" customHeight="1">
      <x:c r="A21" s="171"/>
      <x:c r="B21" s="171"/>
      <x:c r="C21" s="171"/>
      <x:c r="D21" s="182" t="str">
        <x:v>The real-return method is a simplified planning estimate. It does not model taxes, changing expenses, pension income, market sequence risk or asset allocation. Use conservative assumptions and review yearly.</x:v>
      </x:c>
      <x:c r="E21" s="182" t="str">
        <x:v>The real-return method is a simplified planning estimate. It does not model taxes, changing expenses, pension income, market sequence risk or asset allocation. Use conservative assumptions and review yearly.</x:v>
      </x:c>
      <x:c r="F21" s="182" t="str">
        <x:v>The real-return method is a simplified planning estimate. It does not model taxes, changing expenses, pension income, market sequence risk or asset allocation. Use conservative assumptions and review yearly.</x:v>
      </x:c>
      <x:c r="G21" s="182" t="str">
        <x:v>The real-return method is a simplified planning estimate. It does not model taxes, changing expenses, pension income, market sequence risk or asset allocation. Use conservative assumptions and review yearly.</x:v>
      </x:c>
      <x:c r="H21" s="182" t="str">
        <x:v>The real-return method is a simplified planning estimate. It does not model taxes, changing expenses, pension income, market sequence risk or asset allocation. Use conservative assumptions and review yearly.</x:v>
      </x:c>
    </x:row>
  </x:sheetData>
  <x:mergeCells>
    <x:mergeCell ref="A1:H1"/>
    <x:mergeCell ref="A2:H2"/>
    <x:mergeCell ref="A4:B4"/>
    <x:mergeCell ref="D4:E4"/>
    <x:mergeCell ref="A16:H16"/>
    <x:mergeCell ref="D18:H21"/>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26" hidden="0" customWidth="1"/>
    <x:col min="2" max="2" width="17" hidden="0" customWidth="1"/>
    <x:col min="3" max="3" width="17" hidden="0" customWidth="1"/>
    <x:col min="4" max="4" width="17" hidden="0" customWidth="1"/>
    <x:col min="5" max="5" width="18" hidden="0" customWidth="1"/>
    <x:col min="6" max="6" width="4" hidden="0" customWidth="1"/>
    <x:col min="7" max="7" width="27" hidden="0" customWidth="1"/>
    <x:col min="8" max="8" width="23" hidden="0" customWidth="1"/>
  </x:cols>
  <x:sheetData>
    <x:row r="1" ht="36" customHeight="1">
      <x:c r="A1" s="4" t="str">
        <x:v>Investment Allocation Review</x:v>
      </x:c>
      <x:c r="B1" s="4" t="str">
        <x:v>Investment Allocation Review</x:v>
      </x:c>
      <x:c r="C1" s="4" t="str">
        <x:v>Investment Allocation Review</x:v>
      </x:c>
      <x:c r="D1" s="4" t="str">
        <x:v>Investment Allocation Review</x:v>
      </x:c>
      <x:c r="E1" s="4" t="str">
        <x:v>Investment Allocation Review</x:v>
      </x:c>
      <x:c r="F1" s="4" t="str">
        <x:v>Investment Allocation Review</x:v>
      </x:c>
      <x:c r="G1" s="4" t="str">
        <x:v>Investment Allocation Review</x:v>
      </x:c>
      <x:c r="H1" s="4" t="str">
        <x:v>Investment Allocation Review</x:v>
      </x:c>
    </x:row>
    <x:row r="2" ht="27" customHeight="1">
      <x:c r="A2" s="170" t="str">
        <x:v>Compare current and target allocation. This is a review framework, not a security recommendation.</x:v>
      </x:c>
      <x:c r="B2" s="170" t="str">
        <x:v>Compare current and target allocation. This is a review framework, not a security recommendation.</x:v>
      </x:c>
      <x:c r="C2" s="170" t="str">
        <x:v>Compare current and target allocation. This is a review framework, not a security recommendation.</x:v>
      </x:c>
      <x:c r="D2" s="170" t="str">
        <x:v>Compare current and target allocation. This is a review framework, not a security recommendation.</x:v>
      </x:c>
      <x:c r="E2" s="170" t="str">
        <x:v>Compare current and target allocation. This is a review framework, not a security recommendation.</x:v>
      </x:c>
      <x:c r="F2" s="170" t="str">
        <x:v>Compare current and target allocation. This is a review framework, not a security recommendation.</x:v>
      </x:c>
      <x:c r="G2" s="170" t="str">
        <x:v>Compare current and target allocation. This is a review framework, not a security recommendation.</x:v>
      </x:c>
      <x:c r="H2" s="170" t="str">
        <x:v>Compare current and target allocation. This is a review framework, not a security recommendation.</x:v>
      </x:c>
    </x:row>
    <x:row r="3">
      <x:c r="A3" s="171"/>
      <x:c r="B3" s="171"/>
      <x:c r="C3" s="171"/>
      <x:c r="D3" s="171"/>
      <x:c r="E3" s="171"/>
      <x:c r="F3" s="171"/>
      <x:c r="G3" s="171"/>
      <x:c r="H3" s="171"/>
    </x:row>
    <x:row r="4" ht="23" customHeight="1">
      <x:c r="A4" s="21" t="str">
        <x:v>Asset class</x:v>
      </x:c>
      <x:c r="B4" s="21" t="str">
        <x:v>Current value (₹)</x:v>
      </x:c>
      <x:c r="C4" s="21" t="str">
        <x:v>Current %</x:v>
      </x:c>
      <x:c r="D4" s="21" t="str">
        <x:v>Target %</x:v>
      </x:c>
      <x:c r="E4" s="21" t="str">
        <x:v>Gap %</x:v>
      </x:c>
      <x:c r="F4" s="171"/>
      <x:c r="G4" s="16" t="str">
        <x:v>Review prompts</x:v>
      </x:c>
      <x:c r="H4" s="16" t="str">
        <x:v>Review prompts</x:v>
      </x:c>
    </x:row>
    <x:row r="5" ht="25" customHeight="1">
      <x:c r="A5" s="199" t="str">
        <x:v>Equity</x:v>
      </x:c>
      <x:c r="B5" s="216" t="n">
        <x:v>750000</x:v>
      </x:c>
      <x:c r="C5" s="270" t="n">
        <x:f>IF(SUM($B$5:$B$9)=0,0,B5/SUM($B$5:$B$9))</x:f>
        <x:v>0.35714285714285715</x:v>
      </x:c>
      <x:c r="D5" s="192" t="n">
        <x:v>0.55</x:v>
      </x:c>
      <x:c r="E5" s="190" t="n">
        <x:f>D5-C5</x:f>
        <x:v>0.1928571428571429</x:v>
      </x:c>
      <x:c r="F5" s="171"/>
      <x:c r="G5" s="21" t="str">
        <x:v>Question</x:v>
      </x:c>
      <x:c r="H5" s="21" t="str">
        <x:v>Your note</x:v>
      </x:c>
    </x:row>
    <x:row r="6">
      <x:c r="A6" s="202" t="str">
        <x:v>Debt / fixed income</x:v>
      </x:c>
      <x:c r="B6" s="217" t="n">
        <x:v>900000</x:v>
      </x:c>
      <x:c r="C6" s="271" t="n">
        <x:f>IF(SUM($B$5:$B$9)=0,0,B6/SUM($B$5:$B$9))</x:f>
        <x:v>0.42857142857142855</x:v>
      </x:c>
      <x:c r="D6" s="194" t="n">
        <x:v>0.3</x:v>
      </x:c>
      <x:c r="E6" s="190" t="n">
        <x:f>D6-C6</x:f>
        <x:v>-0.12857142857142856</x:v>
      </x:c>
      <x:c r="F6" s="171"/>
      <x:c r="G6" s="171" t="str">
        <x:v>Does the target match the goal timeline?</x:v>
      </x:c>
      <x:c r="H6" s="191" t="str"/>
    </x:row>
    <x:row r="7">
      <x:c r="A7" s="202" t="str">
        <x:v>Cash</x:v>
      </x:c>
      <x:c r="B7" s="217" t="n">
        <x:v>250000</x:v>
      </x:c>
      <x:c r="C7" s="271" t="n">
        <x:f>IF(SUM($B$5:$B$9)=0,0,B7/SUM($B$5:$B$9))</x:f>
        <x:v>0.11904761904761904</x:v>
      </x:c>
      <x:c r="D7" s="194" t="n">
        <x:v>0.1</x:v>
      </x:c>
      <x:c r="E7" s="190" t="n">
        <x:f>D7-C7</x:f>
        <x:v>-0.019047619047619035</x:v>
      </x:c>
      <x:c r="F7" s="171"/>
      <x:c r="G7" s="171" t="str">
        <x:v>Could you tolerate a major market decline?</x:v>
      </x:c>
      <x:c r="H7" s="195" t="str"/>
    </x:row>
    <x:row r="8">
      <x:c r="A8" s="202" t="str">
        <x:v>Gold</x:v>
      </x:c>
      <x:c r="B8" s="217" t="n">
        <x:v>200000</x:v>
      </x:c>
      <x:c r="C8" s="271" t="n">
        <x:f>IF(SUM($B$5:$B$9)=0,0,B8/SUM($B$5:$B$9))</x:f>
        <x:v>0.09523809523809523</x:v>
      </x:c>
      <x:c r="D8" s="194" t="n">
        <x:v>0.05</x:v>
      </x:c>
      <x:c r="E8" s="190" t="n">
        <x:f>D8-C8</x:f>
        <x:v>-0.04523809523809523</x:v>
      </x:c>
      <x:c r="F8" s="171"/>
      <x:c r="G8" s="171" t="str">
        <x:v>Is near-term money kept out of risky assets?</x:v>
      </x:c>
      <x:c r="H8" s="195" t="str"/>
    </x:row>
    <x:row r="9">
      <x:c r="A9" s="205" t="str">
        <x:v>Other</x:v>
      </x:c>
      <x:c r="B9" s="218" t="n">
        <x:v>0</x:v>
      </x:c>
      <x:c r="C9" s="272" t="n">
        <x:f>IF(SUM($B$5:$B$9)=0,0,B9/SUM($B$5:$B$9))</x:f>
        <x:v>0</x:v>
      </x:c>
      <x:c r="D9" s="198" t="n">
        <x:v>0</x:v>
      </x:c>
      <x:c r="E9" s="190" t="n">
        <x:f>D9-C9</x:f>
        <x:v>0</x:v>
      </x:c>
      <x:c r="F9" s="171"/>
      <x:c r="G9" s="171" t="str">
        <x:v>Are costs and taxes understood?</x:v>
      </x:c>
      <x:c r="H9" s="195" t="str"/>
    </x:row>
    <x:row r="10">
      <x:c r="A10" s="171"/>
      <x:c r="B10" s="171"/>
      <x:c r="C10" s="171"/>
      <x:c r="D10" s="171"/>
      <x:c r="E10" s="171"/>
      <x:c r="F10" s="171"/>
      <x:c r="G10" s="171" t="str">
        <x:v>Is concentration too high?</x:v>
      </x:c>
      <x:c r="H10" s="195" t="str"/>
    </x:row>
    <x:row r="11">
      <x:c r="A11" s="219" t="str">
        <x:v>TOTAL</x:v>
      </x:c>
      <x:c r="B11" s="220" t="n">
        <x:f>SUM(B5:B9)</x:f>
        <x:v>2100000</x:v>
      </x:c>
      <x:c r="C11" s="273" t="n">
        <x:f>SUM(C5:C9)</x:f>
        <x:v>1</x:v>
      </x:c>
      <x:c r="D11" s="273" t="n">
        <x:f>SUM(D5:D9)</x:f>
        <x:v>1</x:v>
      </x:c>
      <x:c r="E11" s="273" t="n">
        <x:f>SUM(E5:E9)</x:f>
        <x:v>6.938893903907228e-17</x:v>
      </x:c>
      <x:c r="F11" s="171"/>
      <x:c r="G11" s="171" t="str">
        <x:v>Next rebalance review</x:v>
      </x:c>
      <x:c r="H11" s="197" t="str"/>
    </x:row>
    <x:row r="12">
      <x:c r="A12" s="171"/>
      <x:c r="B12" s="171"/>
      <x:c r="C12" s="171"/>
      <x:c r="D12" s="171"/>
      <x:c r="E12" s="171"/>
      <x:c r="F12" s="171"/>
      <x:c r="G12" s="171"/>
      <x:c r="H12" s="171"/>
    </x:row>
    <x:row r="13">
      <x:c r="A13" s="171"/>
      <x:c r="B13" s="171"/>
      <x:c r="C13" s="171"/>
      <x:c r="D13" s="171"/>
      <x:c r="E13" s="171"/>
      <x:c r="F13" s="171"/>
      <x:c r="G13" s="171"/>
      <x:c r="H13" s="171"/>
    </x:row>
    <x:row r="14" ht="32" customHeight="1">
      <x:c r="A14" s="182" t="str">
        <x:v>Rebalancing can create tax and transaction consequences. New contributions may sometimes close gaps gradually. Verify suitability with a qualified professional when needed.</x:v>
      </x:c>
      <x:c r="B14" s="182" t="str">
        <x:v>Rebalancing can create tax and transaction consequences. New contributions may sometimes close gaps gradually. Verify suitability with a qualified professional when needed.</x:v>
      </x:c>
      <x:c r="C14" s="182" t="str">
        <x:v>Rebalancing can create tax and transaction consequences. New contributions may sometimes close gaps gradually. Verify suitability with a qualified professional when needed.</x:v>
      </x:c>
      <x:c r="D14" s="182" t="str">
        <x:v>Rebalancing can create tax and transaction consequences. New contributions may sometimes close gaps gradually. Verify suitability with a qualified professional when needed.</x:v>
      </x:c>
      <x:c r="E14" s="182" t="str">
        <x:v>Rebalancing can create tax and transaction consequences. New contributions may sometimes close gaps gradually. Verify suitability with a qualified professional when needed.</x:v>
      </x:c>
      <x:c r="F14" s="182" t="str">
        <x:v>Rebalancing can create tax and transaction consequences. New contributions may sometimes close gaps gradually. Verify suitability with a qualified professional when needed.</x:v>
      </x:c>
      <x:c r="G14" s="182" t="str">
        <x:v>Rebalancing can create tax and transaction consequences. New contributions may sometimes close gaps gradually. Verify suitability with a qualified professional when needed.</x:v>
      </x:c>
      <x:c r="H14" s="182" t="str">
        <x:v>Rebalancing can create tax and transaction consequences. New contributions may sometimes close gaps gradually. Verify suitability with a qualified professional when needed.</x:v>
      </x:c>
    </x:row>
    <x:row r="15" ht="32" customHeight="1">
      <x:c r="A15" s="182" t="str">
        <x:v>Rebalancing can create tax and transaction consequences. New contributions may sometimes close gaps gradually. Verify suitability with a qualified professional when needed.</x:v>
      </x:c>
      <x:c r="B15" s="182" t="str">
        <x:v>Rebalancing can create tax and transaction consequences. New contributions may sometimes close gaps gradually. Verify suitability with a qualified professional when needed.</x:v>
      </x:c>
      <x:c r="C15" s="182" t="str">
        <x:v>Rebalancing can create tax and transaction consequences. New contributions may sometimes close gaps gradually. Verify suitability with a qualified professional when needed.</x:v>
      </x:c>
      <x:c r="D15" s="182" t="str">
        <x:v>Rebalancing can create tax and transaction consequences. New contributions may sometimes close gaps gradually. Verify suitability with a qualified professional when needed.</x:v>
      </x:c>
      <x:c r="E15" s="182" t="str">
        <x:v>Rebalancing can create tax and transaction consequences. New contributions may sometimes close gaps gradually. Verify suitability with a qualified professional when needed.</x:v>
      </x:c>
      <x:c r="F15" s="182" t="str">
        <x:v>Rebalancing can create tax and transaction consequences. New contributions may sometimes close gaps gradually. Verify suitability with a qualified professional when needed.</x:v>
      </x:c>
      <x:c r="G15" s="182" t="str">
        <x:v>Rebalancing can create tax and transaction consequences. New contributions may sometimes close gaps gradually. Verify suitability with a qualified professional when needed.</x:v>
      </x:c>
      <x:c r="H15" s="182" t="str">
        <x:v>Rebalancing can create tax and transaction consequences. New contributions may sometimes close gaps gradually. Verify suitability with a qualified professional when needed.</x:v>
      </x:c>
    </x:row>
    <x:row r="16" ht="32" customHeight="1">
      <x:c r="A16" s="182" t="str">
        <x:v>Rebalancing can create tax and transaction consequences. New contributions may sometimes close gaps gradually. Verify suitability with a qualified professional when needed.</x:v>
      </x:c>
      <x:c r="B16" s="182" t="str">
        <x:v>Rebalancing can create tax and transaction consequences. New contributions may sometimes close gaps gradually. Verify suitability with a qualified professional when needed.</x:v>
      </x:c>
      <x:c r="C16" s="182" t="str">
        <x:v>Rebalancing can create tax and transaction consequences. New contributions may sometimes close gaps gradually. Verify suitability with a qualified professional when needed.</x:v>
      </x:c>
      <x:c r="D16" s="182" t="str">
        <x:v>Rebalancing can create tax and transaction consequences. New contributions may sometimes close gaps gradually. Verify suitability with a qualified professional when needed.</x:v>
      </x:c>
      <x:c r="E16" s="182" t="str">
        <x:v>Rebalancing can create tax and transaction consequences. New contributions may sometimes close gaps gradually. Verify suitability with a qualified professional when needed.</x:v>
      </x:c>
      <x:c r="F16" s="182" t="str">
        <x:v>Rebalancing can create tax and transaction consequences. New contributions may sometimes close gaps gradually. Verify suitability with a qualified professional when needed.</x:v>
      </x:c>
      <x:c r="G16" s="182" t="str">
        <x:v>Rebalancing can create tax and transaction consequences. New contributions may sometimes close gaps gradually. Verify suitability with a qualified professional when needed.</x:v>
      </x:c>
      <x:c r="H16" s="182" t="str">
        <x:v>Rebalancing can create tax and transaction consequences. New contributions may sometimes close gaps gradually. Verify suitability with a qualified professional when needed.</x:v>
      </x:c>
    </x:row>
  </x:sheetData>
  <x:mergeCells>
    <x:mergeCell ref="A1:H1"/>
    <x:mergeCell ref="A2:H2"/>
    <x:mergeCell ref="G4:H4"/>
    <x:mergeCell ref="A14:H16"/>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5" hidden="0" customWidth="1"/>
    <x:col min="2" max="2" width="43" hidden="0" customWidth="1"/>
    <x:col min="3" max="3" width="18" hidden="0" customWidth="1"/>
    <x:col min="4" max="4" width="18" hidden="0" customWidth="1"/>
    <x:col min="5" max="5" width="38" hidden="0" customWidth="1"/>
    <x:col min="6" max="6" width="4" hidden="0" customWidth="1"/>
    <x:col min="7" max="7" width="22" hidden="0" customWidth="1"/>
    <x:col min="8" max="8" width="22" hidden="0" customWidth="1"/>
  </x:cols>
  <x:sheetData>
    <x:row r="1" ht="36" customHeight="1">
      <x:c r="A1" s="4" t="str">
        <x:v>Tax Readiness Checklist</x:v>
      </x:c>
      <x:c r="B1" s="4" t="str">
        <x:v>Tax Readiness Checklist</x:v>
      </x:c>
      <x:c r="C1" s="4" t="str">
        <x:v>Tax Readiness Checklist</x:v>
      </x:c>
      <x:c r="D1" s="4" t="str">
        <x:v>Tax Readiness Checklist</x:v>
      </x:c>
      <x:c r="E1" s="4" t="str">
        <x:v>Tax Readiness Checklist</x:v>
      </x:c>
      <x:c r="F1" s="4" t="str">
        <x:v>Tax Readiness Checklist</x:v>
      </x:c>
      <x:c r="G1" s="4" t="str">
        <x:v>Tax Readiness Checklist</x:v>
      </x:c>
      <x:c r="H1" s="4" t="str">
        <x:v>Tax Readiness Checklist</x:v>
      </x:c>
    </x:row>
    <x:row r="2" ht="27" customHeight="1">
      <x:c r="A2" s="170" t="str">
        <x:v>Organise information for filing or professional review. Always verify current tax law and limits from official sources.</x:v>
      </x:c>
      <x:c r="B2" s="170" t="str">
        <x:v>Organise information for filing or professional review. Always verify current tax law and limits from official sources.</x:v>
      </x:c>
      <x:c r="C2" s="170" t="str">
        <x:v>Organise information for filing or professional review. Always verify current tax law and limits from official sources.</x:v>
      </x:c>
      <x:c r="D2" s="170" t="str">
        <x:v>Organise information for filing or professional review. Always verify current tax law and limits from official sources.</x:v>
      </x:c>
      <x:c r="E2" s="170" t="str">
        <x:v>Organise information for filing or professional review. Always verify current tax law and limits from official sources.</x:v>
      </x:c>
      <x:c r="F2" s="170" t="str">
        <x:v>Organise information for filing or professional review. Always verify current tax law and limits from official sources.</x:v>
      </x:c>
      <x:c r="G2" s="170" t="str">
        <x:v>Organise information for filing or professional review. Always verify current tax law and limits from official sources.</x:v>
      </x:c>
      <x:c r="H2" s="170" t="str">
        <x:v>Organise information for filing or professional review. Always verify current tax law and limits from official sources.</x:v>
      </x:c>
    </x:row>
    <x:row r="3">
      <x:c r="A3" s="171"/>
      <x:c r="B3" s="171"/>
      <x:c r="C3" s="171"/>
      <x:c r="D3" s="171"/>
      <x:c r="E3" s="171"/>
      <x:c r="F3" s="171"/>
      <x:c r="G3" s="171"/>
      <x:c r="H3" s="171"/>
    </x:row>
    <x:row r="4" ht="23" customHeight="1">
      <x:c r="A4" s="21" t="str">
        <x:v>Area</x:v>
      </x:c>
      <x:c r="B4" s="21" t="str">
        <x:v>Document / review item</x:v>
      </x:c>
      <x:c r="C4" s="21" t="str">
        <x:v>Status</x:v>
      </x:c>
      <x:c r="D4" s="21" t="str">
        <x:v>Due / review date</x:v>
      </x:c>
      <x:c r="E4" s="21" t="str">
        <x:v>Notes / location</x:v>
      </x:c>
      <x:c r="F4" s="171"/>
      <x:c r="G4" s="16" t="str">
        <x:v>Completion</x:v>
      </x:c>
      <x:c r="H4" s="16" t="str">
        <x:v>Completion</x:v>
      </x:c>
    </x:row>
    <x:row r="5" ht="25" customHeight="1">
      <x:c r="A5" s="171" t="str">
        <x:v>Income</x:v>
      </x:c>
      <x:c r="B5" s="171" t="str">
        <x:v>Salary certificates / business records</x:v>
      </x:c>
      <x:c r="C5" s="199" t="str">
        <x:v>Not started</x:v>
      </x:c>
      <x:c r="D5" s="263"/>
      <x:c r="E5" s="201" t="str"/>
      <x:c r="F5" s="171"/>
      <x:c r="G5" s="21" t="str">
        <x:v>Metric</x:v>
      </x:c>
      <x:c r="H5" s="21" t="str">
        <x:v>Result</x:v>
      </x:c>
    </x:row>
    <x:row r="6">
      <x:c r="A6" s="171" t="str">
        <x:v>Banking</x:v>
      </x:c>
      <x:c r="B6" s="171" t="str">
        <x:v>Interest certificates and statements</x:v>
      </x:c>
      <x:c r="C6" s="202" t="str">
        <x:v>Not started</x:v>
      </x:c>
      <x:c r="D6" s="264"/>
      <x:c r="E6" s="204" t="str"/>
      <x:c r="F6" s="171"/>
      <x:c r="G6" s="171" t="str">
        <x:v>Items complete</x:v>
      </x:c>
      <x:c r="H6" s="274" t="n">
        <x:f>COUNTIF(C5:C14,"Complete")</x:f>
        <x:v>0</x:v>
      </x:c>
    </x:row>
    <x:row r="7">
      <x:c r="A7" s="171" t="str">
        <x:v>Investments</x:v>
      </x:c>
      <x:c r="B7" s="171" t="str">
        <x:v>Capital gains statements</x:v>
      </x:c>
      <x:c r="C7" s="202" t="str">
        <x:v>Not started</x:v>
      </x:c>
      <x:c r="D7" s="264"/>
      <x:c r="E7" s="204" t="str"/>
      <x:c r="F7" s="171"/>
      <x:c r="G7" s="171" t="str">
        <x:v>Applicable items</x:v>
      </x:c>
      <x:c r="H7" s="275" t="n">
        <x:f>COUNTIF(C5:C14,"&lt;&gt;Not applicable")</x:f>
        <x:v>8</x:v>
      </x:c>
    </x:row>
    <x:row r="8">
      <x:c r="A8" s="171" t="str">
        <x:v>Property</x:v>
      </x:c>
      <x:c r="B8" s="171" t="str">
        <x:v>Rent, home-loan and property records</x:v>
      </x:c>
      <x:c r="C8" s="202" t="str">
        <x:v>Not applicable</x:v>
      </x:c>
      <x:c r="D8" s="264"/>
      <x:c r="E8" s="204" t="str"/>
      <x:c r="F8" s="171"/>
      <x:c r="G8" s="171" t="str">
        <x:v>Completion rate</x:v>
      </x:c>
      <x:c r="H8" s="272" t="n">
        <x:f>IF(H7=0,0,H6/H7)</x:f>
        <x:v>0</x:v>
      </x:c>
    </x:row>
    <x:row r="9">
      <x:c r="A9" s="171" t="str">
        <x:v>Deductions</x:v>
      </x:c>
      <x:c r="B9" s="171" t="str">
        <x:v>Eligible contribution / premium evidence</x:v>
      </x:c>
      <x:c r="C9" s="202" t="str">
        <x:v>Not started</x:v>
      </x:c>
      <x:c r="D9" s="264"/>
      <x:c r="E9" s="204" t="str"/>
      <x:c r="F9" s="171"/>
      <x:c r="G9" s="171"/>
      <x:c r="H9" s="171"/>
    </x:row>
    <x:row r="10">
      <x:c r="A10" s="171" t="str">
        <x:v>Foreign assets</x:v>
      </x:c>
      <x:c r="B10" s="171" t="str">
        <x:v>Review disclosure obligations if applicable</x:v>
      </x:c>
      <x:c r="C10" s="202" t="str">
        <x:v>Not applicable</x:v>
      </x:c>
      <x:c r="D10" s="264"/>
      <x:c r="E10" s="204" t="str"/>
      <x:c r="F10" s="171"/>
      <x:c r="G10" s="171"/>
      <x:c r="H10" s="171"/>
    </x:row>
    <x:row r="11">
      <x:c r="A11" s="171" t="str">
        <x:v>Advance tax</x:v>
      </x:c>
      <x:c r="B11" s="171" t="str">
        <x:v>Check payment requirement</x:v>
      </x:c>
      <x:c r="C11" s="202" t="str">
        <x:v>Not started</x:v>
      </x:c>
      <x:c r="D11" s="264"/>
      <x:c r="E11" s="204" t="str"/>
      <x:c r="F11" s="171"/>
      <x:c r="G11" s="171"/>
      <x:c r="H11" s="171"/>
    </x:row>
    <x:row r="12">
      <x:c r="A12" s="171" t="str">
        <x:v>Filing</x:v>
      </x:c>
      <x:c r="B12" s="171" t="str">
        <x:v>Reconcile information and submit return</x:v>
      </x:c>
      <x:c r="C12" s="202" t="str">
        <x:v>Not started</x:v>
      </x:c>
      <x:c r="D12" s="264"/>
      <x:c r="E12" s="204" t="str"/>
      <x:c r="F12" s="171"/>
      <x:c r="G12" s="171"/>
      <x:c r="H12" s="171"/>
    </x:row>
    <x:row r="13">
      <x:c r="A13" s="171" t="str">
        <x:v>After filing</x:v>
      </x:c>
      <x:c r="B13" s="171" t="str">
        <x:v>Store acknowledgement and computation</x:v>
      </x:c>
      <x:c r="C13" s="202" t="str">
        <x:v>Not started</x:v>
      </x:c>
      <x:c r="D13" s="264"/>
      <x:c r="E13" s="204" t="str"/>
      <x:c r="F13" s="171"/>
      <x:c r="G13" s="171"/>
      <x:c r="H13" s="171"/>
    </x:row>
    <x:row r="14">
      <x:c r="A14" s="171" t="str">
        <x:v>Next year</x:v>
      </x:c>
      <x:c r="B14" s="171" t="str">
        <x:v>Update tax planning assumptions</x:v>
      </x:c>
      <x:c r="C14" s="205" t="str">
        <x:v>Not started</x:v>
      </x:c>
      <x:c r="D14" s="265"/>
      <x:c r="E14" s="207" t="str"/>
      <x:c r="F14" s="171"/>
      <x:c r="G14" s="171"/>
      <x:c r="H14" s="171"/>
    </x:row>
    <x:row r="15">
      <x:c r="A15" s="171"/>
      <x:c r="B15" s="171"/>
      <x:c r="C15" s="171"/>
      <x:c r="D15" s="171"/>
      <x:c r="E15" s="171"/>
      <x:c r="F15" s="171"/>
      <x:c r="G15" s="171"/>
      <x:c r="H15" s="171"/>
    </x:row>
    <x:row r="16">
      <x:c r="A16" s="171"/>
      <x:c r="B16" s="171"/>
      <x:c r="C16" s="171"/>
      <x:c r="D16" s="171"/>
      <x:c r="E16" s="171"/>
      <x:c r="F16" s="171"/>
      <x:c r="G16" s="171"/>
      <x:c r="H16" s="171"/>
    </x:row>
    <x:row r="17" ht="32" customHeight="1">
      <x:c r="A17" s="182" t="str">
        <x:v>This sheet intentionally does not calculate tax liability. Tax rules, regimes, rates, deductions and filing requirements can change. Use official portals or a qualified tax professional.</x:v>
      </x:c>
      <x:c r="B17" s="182" t="str">
        <x:v>This sheet intentionally does not calculate tax liability. Tax rules, regimes, rates, deductions and filing requirements can change. Use official portals or a qualified tax professional.</x:v>
      </x:c>
      <x:c r="C17" s="182" t="str">
        <x:v>This sheet intentionally does not calculate tax liability. Tax rules, regimes, rates, deductions and filing requirements can change. Use official portals or a qualified tax professional.</x:v>
      </x:c>
      <x:c r="D17" s="182" t="str">
        <x:v>This sheet intentionally does not calculate tax liability. Tax rules, regimes, rates, deductions and filing requirements can change. Use official portals or a qualified tax professional.</x:v>
      </x:c>
      <x:c r="E17" s="182" t="str">
        <x:v>This sheet intentionally does not calculate tax liability. Tax rules, regimes, rates, deductions and filing requirements can change. Use official portals or a qualified tax professional.</x:v>
      </x:c>
      <x:c r="F17" s="182" t="str">
        <x:v>This sheet intentionally does not calculate tax liability. Tax rules, regimes, rates, deductions and filing requirements can change. Use official portals or a qualified tax professional.</x:v>
      </x:c>
      <x:c r="G17" s="182" t="str">
        <x:v>This sheet intentionally does not calculate tax liability. Tax rules, regimes, rates, deductions and filing requirements can change. Use official portals or a qualified tax professional.</x:v>
      </x:c>
      <x:c r="H17" s="182" t="str">
        <x:v>This sheet intentionally does not calculate tax liability. Tax rules, regimes, rates, deductions and filing requirements can change. Use official portals or a qualified tax professional.</x:v>
      </x:c>
    </x:row>
    <x:row r="18" ht="32" customHeight="1">
      <x:c r="A18" s="182" t="str">
        <x:v>This sheet intentionally does not calculate tax liability. Tax rules, regimes, rates, deductions and filing requirements can change. Use official portals or a qualified tax professional.</x:v>
      </x:c>
      <x:c r="B18" s="182" t="str">
        <x:v>This sheet intentionally does not calculate tax liability. Tax rules, regimes, rates, deductions and filing requirements can change. Use official portals or a qualified tax professional.</x:v>
      </x:c>
      <x:c r="C18" s="182" t="str">
        <x:v>This sheet intentionally does not calculate tax liability. Tax rules, regimes, rates, deductions and filing requirements can change. Use official portals or a qualified tax professional.</x:v>
      </x:c>
      <x:c r="D18" s="182" t="str">
        <x:v>This sheet intentionally does not calculate tax liability. Tax rules, regimes, rates, deductions and filing requirements can change. Use official portals or a qualified tax professional.</x:v>
      </x:c>
      <x:c r="E18" s="182" t="str">
        <x:v>This sheet intentionally does not calculate tax liability. Tax rules, regimes, rates, deductions and filing requirements can change. Use official portals or a qualified tax professional.</x:v>
      </x:c>
      <x:c r="F18" s="182" t="str">
        <x:v>This sheet intentionally does not calculate tax liability. Tax rules, regimes, rates, deductions and filing requirements can change. Use official portals or a qualified tax professional.</x:v>
      </x:c>
      <x:c r="G18" s="182" t="str">
        <x:v>This sheet intentionally does not calculate tax liability. Tax rules, regimes, rates, deductions and filing requirements can change. Use official portals or a qualified tax professional.</x:v>
      </x:c>
      <x:c r="H18" s="182" t="str">
        <x:v>This sheet intentionally does not calculate tax liability. Tax rules, regimes, rates, deductions and filing requirements can change. Use official portals or a qualified tax professional.</x:v>
      </x:c>
    </x:row>
    <x:row r="19" ht="32" customHeight="1">
      <x:c r="A19" s="182" t="str">
        <x:v>This sheet intentionally does not calculate tax liability. Tax rules, regimes, rates, deductions and filing requirements can change. Use official portals or a qualified tax professional.</x:v>
      </x:c>
      <x:c r="B19" s="182" t="str">
        <x:v>This sheet intentionally does not calculate tax liability. Tax rules, regimes, rates, deductions and filing requirements can change. Use official portals or a qualified tax professional.</x:v>
      </x:c>
      <x:c r="C19" s="182" t="str">
        <x:v>This sheet intentionally does not calculate tax liability. Tax rules, regimes, rates, deductions and filing requirements can change. Use official portals or a qualified tax professional.</x:v>
      </x:c>
      <x:c r="D19" s="182" t="str">
        <x:v>This sheet intentionally does not calculate tax liability. Tax rules, regimes, rates, deductions and filing requirements can change. Use official portals or a qualified tax professional.</x:v>
      </x:c>
      <x:c r="E19" s="182" t="str">
        <x:v>This sheet intentionally does not calculate tax liability. Tax rules, regimes, rates, deductions and filing requirements can change. Use official portals or a qualified tax professional.</x:v>
      </x:c>
      <x:c r="F19" s="182" t="str">
        <x:v>This sheet intentionally does not calculate tax liability. Tax rules, regimes, rates, deductions and filing requirements can change. Use official portals or a qualified tax professional.</x:v>
      </x:c>
      <x:c r="G19" s="182" t="str">
        <x:v>This sheet intentionally does not calculate tax liability. Tax rules, regimes, rates, deductions and filing requirements can change. Use official portals or a qualified tax professional.</x:v>
      </x:c>
      <x:c r="H19" s="182" t="str">
        <x:v>This sheet intentionally does not calculate tax liability. Tax rules, regimes, rates, deductions and filing requirements can change. Use official portals or a qualified tax professional.</x:v>
      </x:c>
    </x:row>
  </x:sheetData>
  <x:mergeCells>
    <x:mergeCell ref="A1:H1"/>
    <x:mergeCell ref="A2:H2"/>
    <x:mergeCell ref="G4:H4"/>
    <x:mergeCell ref="A17:H19"/>
  </x:mergeCells>
  <x:conditionalFormatting sqref="C5:C14">
    <x:cfRule type="containsText" dxfId="2" priority="1" operator="containsText" text="Complete"/>
  </x:conditionalFormatting>
  <x:dataValidations count="1">
    <x:dataValidation type="list" sqref="C5:C14">
      <x:formula1>"Not started,In progress,Complete,Not applicable"</x:formula1>
    </x:dataValidation>
  </x:dataValidation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3" hidden="0" customWidth="1"/>
    <x:col min="2" max="2" width="46" hidden="0" customWidth="1"/>
    <x:col min="3" max="3" width="18" hidden="0" customWidth="1"/>
    <x:col min="4" max="4" width="17" hidden="0" customWidth="1"/>
    <x:col min="5" max="5" width="37" hidden="0" customWidth="1"/>
    <x:col min="6" max="6" width="18" hidden="0" customWidth="1"/>
    <x:col min="7" max="7" width="18" hidden="0" customWidth="1"/>
  </x:cols>
  <x:sheetData>
    <x:row r="1" ht="36" customHeight="1">
      <x:c r="A1" s="4" t="str">
        <x:v>Annual Financial Review</x:v>
      </x:c>
      <x:c r="B1" s="4" t="str">
        <x:v>Annual Financial Review</x:v>
      </x:c>
      <x:c r="C1" s="4" t="str">
        <x:v>Annual Financial Review</x:v>
      </x:c>
      <x:c r="D1" s="4" t="str">
        <x:v>Annual Financial Review</x:v>
      </x:c>
      <x:c r="E1" s="4" t="str">
        <x:v>Annual Financial Review</x:v>
      </x:c>
      <x:c r="F1" s="4" t="str">
        <x:v>Annual Financial Review</x:v>
      </x:c>
      <x:c r="G1" s="4" t="str">
        <x:v>Annual Financial Review</x:v>
      </x:c>
    </x:row>
    <x:row r="2" ht="27" customHeight="1">
      <x:c r="A2" s="170" t="str">
        <x:v>Complete once a year, capture evidence, and turn observations into a short action list.</x:v>
      </x:c>
      <x:c r="B2" s="170" t="str">
        <x:v>Complete once a year, capture evidence, and turn observations into a short action list.</x:v>
      </x:c>
      <x:c r="C2" s="170" t="str">
        <x:v>Complete once a year, capture evidence, and turn observations into a short action list.</x:v>
      </x:c>
      <x:c r="D2" s="170" t="str">
        <x:v>Complete once a year, capture evidence, and turn observations into a short action list.</x:v>
      </x:c>
      <x:c r="E2" s="170" t="str">
        <x:v>Complete once a year, capture evidence, and turn observations into a short action list.</x:v>
      </x:c>
      <x:c r="F2" s="170" t="str">
        <x:v>Complete once a year, capture evidence, and turn observations into a short action list.</x:v>
      </x:c>
      <x:c r="G2" s="170" t="str">
        <x:v>Complete once a year, capture evidence, and turn observations into a short action list.</x:v>
      </x:c>
    </x:row>
    <x:row r="3">
      <x:c r="A3" s="171"/>
      <x:c r="B3" s="171"/>
      <x:c r="C3" s="171"/>
      <x:c r="D3" s="171"/>
      <x:c r="E3" s="171"/>
      <x:c r="F3" s="171"/>
      <x:c r="G3" s="171"/>
    </x:row>
    <x:row r="4" ht="25" customHeight="1">
      <x:c r="A4" s="21" t="str">
        <x:v>Area</x:v>
      </x:c>
      <x:c r="B4" s="21" t="str">
        <x:v>Review question</x:v>
      </x:c>
      <x:c r="C4" s="21" t="str">
        <x:v>Status</x:v>
      </x:c>
      <x:c r="D4" s="21" t="str">
        <x:v>Score (1-5)</x:v>
      </x:c>
      <x:c r="E4" s="21" t="str">
        <x:v>Decision / next action</x:v>
      </x:c>
      <x:c r="F4" s="171"/>
      <x:c r="G4" s="171"/>
    </x:row>
    <x:row r="5">
      <x:c r="A5" s="171" t="str">
        <x:v>Cash flow</x:v>
      </x:c>
      <x:c r="B5" s="171" t="str">
        <x:v>Did spending and saving support our priorities?</x:v>
      </x:c>
      <x:c r="C5" s="199" t="str">
        <x:v>Not started</x:v>
      </x:c>
      <x:c r="D5" s="200" t="n">
        <x:v>3</x:v>
      </x:c>
      <x:c r="E5" s="201" t="str"/>
      <x:c r="F5" s="171"/>
      <x:c r="G5" s="171"/>
    </x:row>
    <x:row r="6">
      <x:c r="A6" s="171" t="str">
        <x:v>Emergency fund</x:v>
      </x:c>
      <x:c r="B6" s="171" t="str">
        <x:v>Does the reserve match current essential expenses?</x:v>
      </x:c>
      <x:c r="C6" s="202" t="str">
        <x:v>Not started</x:v>
      </x:c>
      <x:c r="D6" s="203" t="n">
        <x:v>3</x:v>
      </x:c>
      <x:c r="E6" s="204" t="str"/>
      <x:c r="F6" s="171"/>
      <x:c r="G6" s="171"/>
    </x:row>
    <x:row r="7">
      <x:c r="A7" s="171" t="str">
        <x:v>Debt</x:v>
      </x:c>
      <x:c r="B7" s="171" t="str">
        <x:v>Did balances and interest costs reduce?</x:v>
      </x:c>
      <x:c r="C7" s="202" t="str">
        <x:v>Not started</x:v>
      </x:c>
      <x:c r="D7" s="203" t="n">
        <x:v>3</x:v>
      </x:c>
      <x:c r="E7" s="204" t="str"/>
      <x:c r="F7" s="171"/>
      <x:c r="G7" s="171"/>
    </x:row>
    <x:row r="8">
      <x:c r="A8" s="171" t="str">
        <x:v>Insurance</x:v>
      </x:c>
      <x:c r="B8" s="171" t="str">
        <x:v>Are cover, nominees and renewals current?</x:v>
      </x:c>
      <x:c r="C8" s="202" t="str">
        <x:v>Not started</x:v>
      </x:c>
      <x:c r="D8" s="203" t="n">
        <x:v>3</x:v>
      </x:c>
      <x:c r="E8" s="204" t="str"/>
      <x:c r="F8" s="171"/>
      <x:c r="G8" s="171"/>
    </x:row>
    <x:row r="9">
      <x:c r="A9" s="171" t="str">
        <x:v>Goals</x:v>
      </x:c>
      <x:c r="B9" s="171" t="str">
        <x:v>Are targets, timelines and contributions realistic?</x:v>
      </x:c>
      <x:c r="C9" s="202" t="str">
        <x:v>Not started</x:v>
      </x:c>
      <x:c r="D9" s="203" t="n">
        <x:v>3</x:v>
      </x:c>
      <x:c r="E9" s="204" t="str"/>
      <x:c r="F9" s="171"/>
      <x:c r="G9" s="171"/>
    </x:row>
    <x:row r="10">
      <x:c r="A10" s="171" t="str">
        <x:v>Investments</x:v>
      </x:c>
      <x:c r="B10" s="171" t="str">
        <x:v>Does allocation match risk and time horizon?</x:v>
      </x:c>
      <x:c r="C10" s="202" t="str">
        <x:v>Not started</x:v>
      </x:c>
      <x:c r="D10" s="203" t="n">
        <x:v>3</x:v>
      </x:c>
      <x:c r="E10" s="204" t="str"/>
      <x:c r="F10" s="171"/>
      <x:c r="G10" s="171"/>
    </x:row>
    <x:row r="11">
      <x:c r="A11" s="171" t="str">
        <x:v>Retirement</x:v>
      </x:c>
      <x:c r="B11" s="171" t="str">
        <x:v>Is the projected contribution still sufficient?</x:v>
      </x:c>
      <x:c r="C11" s="202" t="str">
        <x:v>Not started</x:v>
      </x:c>
      <x:c r="D11" s="203" t="n">
        <x:v>3</x:v>
      </x:c>
      <x:c r="E11" s="204" t="str"/>
      <x:c r="F11" s="171"/>
      <x:c r="G11" s="171"/>
    </x:row>
    <x:row r="12">
      <x:c r="A12" s="171" t="str">
        <x:v>Tax</x:v>
      </x:c>
      <x:c r="B12" s="171" t="str">
        <x:v>Are records complete and current rules verified?</x:v>
      </x:c>
      <x:c r="C12" s="202" t="str">
        <x:v>Not started</x:v>
      </x:c>
      <x:c r="D12" s="203" t="n">
        <x:v>3</x:v>
      </x:c>
      <x:c r="E12" s="204" t="str"/>
      <x:c r="F12" s="171"/>
      <x:c r="G12" s="171"/>
    </x:row>
    <x:row r="13">
      <x:c r="A13" s="171" t="str">
        <x:v>Estate basics</x:v>
      </x:c>
      <x:c r="B13" s="171" t="str">
        <x:v>Can family locate instructions and contacts?</x:v>
      </x:c>
      <x:c r="C13" s="202" t="str">
        <x:v>Not started</x:v>
      </x:c>
      <x:c r="D13" s="203" t="n">
        <x:v>3</x:v>
      </x:c>
      <x:c r="E13" s="204" t="str"/>
      <x:c r="F13" s="171"/>
      <x:c r="G13" s="171"/>
    </x:row>
    <x:row r="14">
      <x:c r="A14" s="171" t="str">
        <x:v>Security</x:v>
      </x:c>
      <x:c r="B14" s="171" t="str">
        <x:v>Are financial accounts protected appropriately?</x:v>
      </x:c>
      <x:c r="C14" s="205" t="str">
        <x:v>Not started</x:v>
      </x:c>
      <x:c r="D14" s="206" t="n">
        <x:v>3</x:v>
      </x:c>
      <x:c r="E14" s="207" t="str"/>
      <x:c r="F14" s="171"/>
      <x:c r="G14" s="171"/>
    </x:row>
    <x:row r="15">
      <x:c r="A15" s="171"/>
      <x:c r="B15" s="171"/>
      <x:c r="C15" s="171"/>
      <x:c r="D15" s="171"/>
      <x:c r="E15" s="171"/>
      <x:c r="F15" s="171"/>
      <x:c r="G15" s="171"/>
    </x:row>
    <x:row r="16">
      <x:c r="A16" s="171"/>
      <x:c r="B16" s="171"/>
      <x:c r="C16" s="171"/>
      <x:c r="D16" s="171"/>
      <x:c r="E16" s="171"/>
      <x:c r="F16" s="171"/>
      <x:c r="G16" s="171"/>
    </x:row>
    <x:row r="17" ht="23" customHeight="1">
      <x:c r="A17" s="16" t="str">
        <x:v>Review outcome</x:v>
      </x:c>
      <x:c r="B17" s="16" t="str">
        <x:v>Review outcome</x:v>
      </x:c>
      <x:c r="C17" s="16" t="str">
        <x:v>Review outcome</x:v>
      </x:c>
      <x:c r="D17" s="16" t="str">
        <x:v>Review outcome</x:v>
      </x:c>
      <x:c r="E17" s="16" t="str">
        <x:v>Review outcome</x:v>
      </x:c>
      <x:c r="F17" s="16" t="str">
        <x:v>Review outcome</x:v>
      </x:c>
      <x:c r="G17" s="16" t="str">
        <x:v>Review outcome</x:v>
      </x:c>
    </x:row>
    <x:row r="18" ht="25" customHeight="1">
      <x:c r="A18" s="21" t="str">
        <x:v>Metric</x:v>
      </x:c>
      <x:c r="B18" s="21" t="str">
        <x:v>Result</x:v>
      </x:c>
      <x:c r="C18" s="171"/>
      <x:c r="D18" s="21" t="str">
        <x:v>Reflection</x:v>
      </x:c>
      <x:c r="E18" s="21" t="str">
        <x:v>Your answer</x:v>
      </x:c>
      <x:c r="F18" s="21" t="str"/>
      <x:c r="G18" s="21" t="str"/>
    </x:row>
    <x:row r="19">
      <x:c r="A19" s="171" t="str">
        <x:v>Completion</x:v>
      </x:c>
      <x:c r="B19" s="270" t="n">
        <x:f>COUNTIF(C5:C14,"Complete")/COUNTA(A5:A14)</x:f>
        <x:v>0</x:v>
      </x:c>
      <x:c r="C19" s="171"/>
      <x:c r="D19" s="171" t="str">
        <x:v>Best financial decision this year</x:v>
      </x:c>
      <x:c r="E19" s="199" t="str"/>
      <x:c r="F19" s="200" t="str"/>
      <x:c r="G19" s="201" t="str"/>
    </x:row>
    <x:row r="20">
      <x:c r="A20" s="171" t="str">
        <x:v>Average score</x:v>
      </x:c>
      <x:c r="B20" s="276" t="n">
        <x:f>AVERAGE(D5:D14)</x:f>
        <x:v>3</x:v>
      </x:c>
      <x:c r="C20" s="171"/>
      <x:c r="D20" s="171" t="str">
        <x:v>Biggest financial surprise</x:v>
      </x:c>
      <x:c r="E20" s="202" t="str"/>
      <x:c r="F20" s="203" t="str"/>
      <x:c r="G20" s="204" t="str"/>
    </x:row>
    <x:row r="21">
      <x:c r="A21" s="171" t="str">
        <x:v>Overall status</x:v>
      </x:c>
      <x:c r="B21" s="269" t="str">
        <x:f>IF(B19=1,"Review complete",IF(B19&gt;=0.5,"Keep going","Start review"))</x:f>
        <x:v>Start review</x:v>
      </x:c>
      <x:c r="C21" s="171"/>
      <x:c r="D21" s="171" t="str">
        <x:v>One habit to continue</x:v>
      </x:c>
      <x:c r="E21" s="202" t="str"/>
      <x:c r="F21" s="203" t="str"/>
      <x:c r="G21" s="204" t="str"/>
    </x:row>
    <x:row r="22">
      <x:c r="A22" s="171"/>
      <x:c r="B22" s="171"/>
      <x:c r="C22" s="171"/>
      <x:c r="D22" s="171" t="str">
        <x:v>One change for next year</x:v>
      </x:c>
      <x:c r="E22" s="205" t="str"/>
      <x:c r="F22" s="206" t="str"/>
      <x:c r="G22" s="207" t="str"/>
    </x:row>
  </x:sheetData>
  <x:mergeCells>
    <x:mergeCell ref="A1:G1"/>
    <x:mergeCell ref="A2:G2"/>
    <x:mergeCell ref="A17:G17"/>
    <x:mergeCell ref="E19:G19"/>
    <x:mergeCell ref="E20:G20"/>
    <x:mergeCell ref="E21:G21"/>
    <x:mergeCell ref="E22:G22"/>
  </x:mergeCells>
  <x:dataValidations count="2">
    <x:dataValidation type="list" sqref="C5:C14">
      <x:formula1>"Not started,In progress,Complete"</x:formula1>
    </x:dataValidation>
    <x:dataValidation type="whole" operator="between" sqref="D5:D14">
      <x:formula1>1</x:formula1>
      <x:formula2>5</x:formula2>
    </x:dataValidation>
  </x:dataValidation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3" hidden="0" customWidth="1"/>
    <x:col min="2" max="2" width="35" hidden="0" customWidth="1"/>
    <x:col min="3" max="3" width="18" hidden="0" customWidth="1"/>
    <x:col min="4" max="4" width="19" hidden="0" customWidth="1"/>
    <x:col min="5" max="5" width="18" hidden="0" customWidth="1"/>
    <x:col min="6" max="6" width="18" hidden="0" customWidth="1"/>
    <x:col min="7" max="7" width="28" hidden="0" customWidth="1"/>
    <x:col min="8" max="8" width="18" hidden="0" customWidth="1"/>
  </x:cols>
  <x:sheetData>
    <x:row r="1" ht="36" customHeight="1">
      <x:c r="A1" s="4" t="str">
        <x:v>90-Day Financial Action Plan</x:v>
      </x:c>
      <x:c r="B1" s="4" t="str">
        <x:v>90-Day Financial Action Plan</x:v>
      </x:c>
      <x:c r="C1" s="4" t="str">
        <x:v>90-Day Financial Action Plan</x:v>
      </x:c>
      <x:c r="D1" s="4" t="str">
        <x:v>90-Day Financial Action Plan</x:v>
      </x:c>
      <x:c r="E1" s="4" t="str">
        <x:v>90-Day Financial Action Plan</x:v>
      </x:c>
      <x:c r="F1" s="4" t="str">
        <x:v>90-Day Financial Action Plan</x:v>
      </x:c>
      <x:c r="G1" s="4" t="str">
        <x:v>90-Day Financial Action Plan</x:v>
      </x:c>
      <x:c r="H1" s="4" t="str">
        <x:v>90-Day Financial Action Plan</x:v>
      </x:c>
    </x:row>
    <x:row r="2" ht="27" customHeight="1">
      <x:c r="A2" s="170" t="str">
        <x:v>Convert the planner into a small number of specific, owned and dated actions.</x:v>
      </x:c>
      <x:c r="B2" s="170" t="str">
        <x:v>Convert the planner into a small number of specific, owned and dated actions.</x:v>
      </x:c>
      <x:c r="C2" s="170" t="str">
        <x:v>Convert the planner into a small number of specific, owned and dated actions.</x:v>
      </x:c>
      <x:c r="D2" s="170" t="str">
        <x:v>Convert the planner into a small number of specific, owned and dated actions.</x:v>
      </x:c>
      <x:c r="E2" s="170" t="str">
        <x:v>Convert the planner into a small number of specific, owned and dated actions.</x:v>
      </x:c>
      <x:c r="F2" s="170" t="str">
        <x:v>Convert the planner into a small number of specific, owned and dated actions.</x:v>
      </x:c>
      <x:c r="G2" s="170" t="str">
        <x:v>Convert the planner into a small number of specific, owned and dated actions.</x:v>
      </x:c>
      <x:c r="H2" s="170" t="str">
        <x:v>Convert the planner into a small number of specific, owned and dated actions.</x:v>
      </x:c>
    </x:row>
    <x:row r="3">
      <x:c r="A3" s="171"/>
      <x:c r="B3" s="171"/>
      <x:c r="C3" s="171"/>
      <x:c r="D3" s="171"/>
      <x:c r="E3" s="171"/>
      <x:c r="F3" s="171"/>
      <x:c r="G3" s="171"/>
      <x:c r="H3" s="171"/>
    </x:row>
    <x:row r="4" ht="25" customHeight="1">
      <x:c r="A4" s="21" t="str">
        <x:v>Priority</x:v>
      </x:c>
      <x:c r="B4" s="21" t="str">
        <x:v>Action</x:v>
      </x:c>
      <x:c r="C4" s="21" t="str">
        <x:v>Planning area</x:v>
      </x:c>
      <x:c r="D4" s="21" t="str">
        <x:v>Owner</x:v>
      </x:c>
      <x:c r="E4" s="21" t="str">
        <x:v>Due date</x:v>
      </x:c>
      <x:c r="F4" s="21" t="str">
        <x:v>Status</x:v>
      </x:c>
      <x:c r="G4" s="21" t="str">
        <x:v>Success measure</x:v>
      </x:c>
      <x:c r="H4" s="21" t="str">
        <x:v>Review date</x:v>
      </x:c>
    </x:row>
    <x:row r="5">
      <x:c r="A5" s="199" t="n">
        <x:v>1</x:v>
      </x:c>
      <x:c r="B5" s="200" t="str">
        <x:v>Automate emergency-fund transfer</x:v>
      </x:c>
      <x:c r="C5" s="200" t="str">
        <x:v>Emergency fund</x:v>
      </x:c>
      <x:c r="D5" s="200" t="str">
        <x:v>Self</x:v>
      </x:c>
      <x:c r="E5" s="263" t="n">
        <x:v>46244</x:v>
      </x:c>
      <x:c r="F5" s="200" t="str">
        <x:v>In progress</x:v>
      </x:c>
      <x:c r="G5" s="200" t="str">
        <x:v>Monthly transfer active</x:v>
      </x:c>
      <x:c r="H5" s="277" t="n">
        <x:v>46275</x:v>
      </x:c>
    </x:row>
    <x:row r="6">
      <x:c r="A6" s="202" t="n">
        <x:v>2</x:v>
      </x:c>
      <x:c r="B6" s="203" t="str">
        <x:v>Clear credit-card balance</x:v>
      </x:c>
      <x:c r="C6" s="203" t="str">
        <x:v>Debt</x:v>
      </x:c>
      <x:c r="D6" s="203" t="str">
        <x:v>Self</x:v>
      </x:c>
      <x:c r="E6" s="264" t="n">
        <x:v>46265</x:v>
      </x:c>
      <x:c r="F6" s="203" t="str">
        <x:v>Not started</x:v>
      </x:c>
      <x:c r="G6" s="203" t="str">
        <x:v>Balance is zero</x:v>
      </x:c>
      <x:c r="H6" s="278" t="n">
        <x:v>46266</x:v>
      </x:c>
    </x:row>
    <x:row r="7">
      <x:c r="A7" s="202" t="n">
        <x:v>3</x:v>
      </x:c>
      <x:c r="B7" s="203" t="str">
        <x:v>Review nominees and insurance cover</x:v>
      </x:c>
      <x:c r="C7" s="203" t="str">
        <x:v>Protection</x:v>
      </x:c>
      <x:c r="D7" s="203" t="str">
        <x:v>Household</x:v>
      </x:c>
      <x:c r="E7" s="264" t="n">
        <x:v>46280</x:v>
      </x:c>
      <x:c r="F7" s="203" t="str">
        <x:v>Not started</x:v>
      </x:c>
      <x:c r="G7" s="203" t="str">
        <x:v>All records updated</x:v>
      </x:c>
      <x:c r="H7" s="278" t="n">
        <x:v>46296</x:v>
      </x:c>
    </x:row>
    <x:row r="8">
      <x:c r="A8" s="202" t="n">
        <x:v>4</x:v>
      </x:c>
      <x:c r="B8" s="203" t="str">
        <x:v>Increase retirement investment</x:v>
      </x:c>
      <x:c r="C8" s="203" t="str">
        <x:v>Retirement</x:v>
      </x:c>
      <x:c r="D8" s="203" t="str">
        <x:v>Self</x:v>
      </x:c>
      <x:c r="E8" s="264" t="n">
        <x:v>46295</x:v>
      </x:c>
      <x:c r="F8" s="203" t="str">
        <x:v>Not started</x:v>
      </x:c>
      <x:c r="G8" s="203" t="str">
        <x:v>New contribution confirmed</x:v>
      </x:c>
      <x:c r="H8" s="278" t="n">
        <x:v>46310</x:v>
      </x:c>
    </x:row>
    <x:row r="9">
      <x:c r="A9" s="202" t="n">
        <x:v>5</x:v>
      </x:c>
      <x:c r="B9" s="203" t="str"/>
      <x:c r="C9" s="203" t="str"/>
      <x:c r="D9" s="203" t="str"/>
      <x:c r="E9" s="264"/>
      <x:c r="F9" s="203" t="str">
        <x:v>Not started</x:v>
      </x:c>
      <x:c r="G9" s="203" t="str"/>
      <x:c r="H9" s="278"/>
    </x:row>
    <x:row r="10">
      <x:c r="A10" s="202" t="n">
        <x:v>6</x:v>
      </x:c>
      <x:c r="B10" s="203" t="str"/>
      <x:c r="C10" s="203" t="str"/>
      <x:c r="D10" s="203" t="str"/>
      <x:c r="E10" s="264"/>
      <x:c r="F10" s="203" t="str">
        <x:v>Not started</x:v>
      </x:c>
      <x:c r="G10" s="203" t="str"/>
      <x:c r="H10" s="278"/>
    </x:row>
    <x:row r="11">
      <x:c r="A11" s="202" t="n">
        <x:v>7</x:v>
      </x:c>
      <x:c r="B11" s="203" t="str"/>
      <x:c r="C11" s="203" t="str"/>
      <x:c r="D11" s="203" t="str"/>
      <x:c r="E11" s="264"/>
      <x:c r="F11" s="203" t="str">
        <x:v>Not started</x:v>
      </x:c>
      <x:c r="G11" s="203" t="str"/>
      <x:c r="H11" s="278"/>
    </x:row>
    <x:row r="12">
      <x:c r="A12" s="205" t="n">
        <x:v>8</x:v>
      </x:c>
      <x:c r="B12" s="206" t="str"/>
      <x:c r="C12" s="206" t="str"/>
      <x:c r="D12" s="206" t="str"/>
      <x:c r="E12" s="265"/>
      <x:c r="F12" s="206" t="str">
        <x:v>Not started</x:v>
      </x:c>
      <x:c r="G12" s="206" t="str"/>
      <x:c r="H12" s="279"/>
    </x:row>
    <x:row r="13">
      <x:c r="A13" s="171"/>
      <x:c r="B13" s="171"/>
      <x:c r="C13" s="171"/>
      <x:c r="D13" s="171"/>
      <x:c r="E13" s="171"/>
      <x:c r="F13" s="171"/>
      <x:c r="G13" s="171"/>
      <x:c r="H13" s="171"/>
    </x:row>
    <x:row r="14">
      <x:c r="A14" s="171"/>
      <x:c r="B14" s="171"/>
      <x:c r="C14" s="171"/>
      <x:c r="D14" s="171"/>
      <x:c r="E14" s="171"/>
      <x:c r="F14" s="171"/>
      <x:c r="G14" s="171"/>
      <x:c r="H14" s="171"/>
    </x:row>
    <x:row r="15" ht="23" customHeight="1">
      <x:c r="A15" s="16" t="str">
        <x:v>Progress</x:v>
      </x:c>
      <x:c r="B15" s="16" t="str">
        <x:v>Progress</x:v>
      </x:c>
      <x:c r="C15" s="16" t="str">
        <x:v>Progress</x:v>
      </x:c>
      <x:c r="D15" s="16" t="str">
        <x:v>Progress</x:v>
      </x:c>
      <x:c r="E15" s="16" t="str">
        <x:v>Progress</x:v>
      </x:c>
      <x:c r="F15" s="16" t="str">
        <x:v>Progress</x:v>
      </x:c>
      <x:c r="G15" s="16" t="str">
        <x:v>Progress</x:v>
      </x:c>
      <x:c r="H15" s="16" t="str">
        <x:v>Progress</x:v>
      </x:c>
    </x:row>
    <x:row r="16" ht="32" customHeight="1">
      <x:c r="A16" s="21" t="str">
        <x:v>Metric</x:v>
      </x:c>
      <x:c r="B16" s="21" t="str">
        <x:v>Result</x:v>
      </x:c>
      <x:c r="C16" s="171"/>
      <x:c r="D16" s="182" t="str">
        <x:v>A strong plan is short. Choose no more than three high-impact actions at one time, assign a clear owner and review progress monthly.</x:v>
      </x:c>
      <x:c r="E16" s="182" t="str">
        <x:v>A strong plan is short. Choose no more than three high-impact actions at one time, assign a clear owner and review progress monthly.</x:v>
      </x:c>
      <x:c r="F16" s="182" t="str">
        <x:v>A strong plan is short. Choose no more than three high-impact actions at one time, assign a clear owner and review progress monthly.</x:v>
      </x:c>
      <x:c r="G16" s="182" t="str">
        <x:v>A strong plan is short. Choose no more than three high-impact actions at one time, assign a clear owner and review progress monthly.</x:v>
      </x:c>
      <x:c r="H16" s="182" t="str">
        <x:v>A strong plan is short. Choose no more than three high-impact actions at one time, assign a clear owner and review progress monthly.</x:v>
      </x:c>
    </x:row>
    <x:row r="17" ht="32" customHeight="1">
      <x:c r="A17" s="171" t="str">
        <x:v>Actions entered</x:v>
      </x:c>
      <x:c r="B17" s="274" t="n">
        <x:f>COUNTIF(B5:B12,"&lt;&gt;" )</x:f>
        <x:v>8</x:v>
      </x:c>
      <x:c r="C17" s="171"/>
      <x:c r="D17" s="182" t="str">
        <x:v>A strong plan is short. Choose no more than three high-impact actions at one time, assign a clear owner and review progress monthly.</x:v>
      </x:c>
      <x:c r="E17" s="182" t="str">
        <x:v>A strong plan is short. Choose no more than three high-impact actions at one time, assign a clear owner and review progress monthly.</x:v>
      </x:c>
      <x:c r="F17" s="182" t="str">
        <x:v>A strong plan is short. Choose no more than three high-impact actions at one time, assign a clear owner and review progress monthly.</x:v>
      </x:c>
      <x:c r="G17" s="182" t="str">
        <x:v>A strong plan is short. Choose no more than three high-impact actions at one time, assign a clear owner and review progress monthly.</x:v>
      </x:c>
      <x:c r="H17" s="182" t="str">
        <x:v>A strong plan is short. Choose no more than three high-impact actions at one time, assign a clear owner and review progress monthly.</x:v>
      </x:c>
    </x:row>
    <x:row r="18" ht="32" customHeight="1">
      <x:c r="A18" s="171" t="str">
        <x:v>Actions complete</x:v>
      </x:c>
      <x:c r="B18" s="275" t="n">
        <x:f>COUNTIF(F5:F12,"Complete")</x:f>
        <x:v>0</x:v>
      </x:c>
      <x:c r="C18" s="171"/>
      <x:c r="D18" s="182" t="str">
        <x:v>A strong plan is short. Choose no more than three high-impact actions at one time, assign a clear owner and review progress monthly.</x:v>
      </x:c>
      <x:c r="E18" s="182" t="str">
        <x:v>A strong plan is short. Choose no more than three high-impact actions at one time, assign a clear owner and review progress monthly.</x:v>
      </x:c>
      <x:c r="F18" s="182" t="str">
        <x:v>A strong plan is short. Choose no more than three high-impact actions at one time, assign a clear owner and review progress monthly.</x:v>
      </x:c>
      <x:c r="G18" s="182" t="str">
        <x:v>A strong plan is short. Choose no more than three high-impact actions at one time, assign a clear owner and review progress monthly.</x:v>
      </x:c>
      <x:c r="H18" s="182" t="str">
        <x:v>A strong plan is short. Choose no more than three high-impact actions at one time, assign a clear owner and review progress monthly.</x:v>
      </x:c>
    </x:row>
    <x:row r="19" ht="32" customHeight="1">
      <x:c r="A19" s="171" t="str">
        <x:v>Completion rate</x:v>
      </x:c>
      <x:c r="B19" s="272" t="n">
        <x:f>IF(B17=0,0,B18/B17)</x:f>
        <x:v>0</x:v>
      </x:c>
      <x:c r="C19" s="171"/>
      <x:c r="D19" s="182" t="str">
        <x:v>A strong plan is short. Choose no more than three high-impact actions at one time, assign a clear owner and review progress monthly.</x:v>
      </x:c>
      <x:c r="E19" s="182" t="str">
        <x:v>A strong plan is short. Choose no more than three high-impact actions at one time, assign a clear owner and review progress monthly.</x:v>
      </x:c>
      <x:c r="F19" s="182" t="str">
        <x:v>A strong plan is short. Choose no more than three high-impact actions at one time, assign a clear owner and review progress monthly.</x:v>
      </x:c>
      <x:c r="G19" s="182" t="str">
        <x:v>A strong plan is short. Choose no more than three high-impact actions at one time, assign a clear owner and review progress monthly.</x:v>
      </x:c>
      <x:c r="H19" s="182" t="str">
        <x:v>A strong plan is short. Choose no more than three high-impact actions at one time, assign a clear owner and review progress monthly.</x:v>
      </x:c>
    </x:row>
  </x:sheetData>
  <x:mergeCells>
    <x:mergeCell ref="A1:H1"/>
    <x:mergeCell ref="A2:H2"/>
    <x:mergeCell ref="A15:H15"/>
    <x:mergeCell ref="D16:H19"/>
  </x:mergeCells>
  <x:conditionalFormatting sqref="F5:F12">
    <x:cfRule type="containsText" dxfId="3" priority="1" operator="containsText" text="Complete"/>
    <x:cfRule type="containsText" dxfId="4" priority="2" operator="containsText" text="Blocked"/>
  </x:conditionalFormatting>
  <x:dataValidations count="2">
    <x:dataValidation type="whole" operator="between" sqref="A5:A12">
      <x:formula1>1</x:formula1>
      <x:formula2>10</x:formula2>
    </x:dataValidation>
    <x:dataValidation type="list" sqref="F5:F12">
      <x:formula1>"Not started,In progress,Blocked,Complete"</x:formula1>
    </x:dataValidation>
  </x:dataValidation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 min="5" max="5" width="15" hidden="0" customWidth="1"/>
    <x:col min="6" max="6" width="15" hidden="0" customWidth="1"/>
    <x:col min="7" max="7" width="44" hidden="0" customWidth="1"/>
  </x:cols>
  <x:sheetData>
    <x:row r="1" ht="36" customHeight="1">
      <x:c r="A1" s="4" t="str">
        <x:v>Model Checks &amp; Review Flags</x:v>
      </x:c>
      <x:c r="B1" s="4" t="str">
        <x:v>Model Checks &amp; Review Flags</x:v>
      </x:c>
      <x:c r="C1" s="4" t="str">
        <x:v>Model Checks &amp; Review Flags</x:v>
      </x:c>
      <x:c r="D1" s="4" t="str">
        <x:v>Model Checks &amp; Review Flags</x:v>
      </x:c>
      <x:c r="E1" s="4" t="str">
        <x:v>Model Checks &amp; Review Flags</x:v>
      </x:c>
      <x:c r="F1" s="4" t="str">
        <x:v>Model Checks &amp; Review Flags</x:v>
      </x:c>
      <x:c r="G1" s="4" t="str">
        <x:v>Model Checks &amp; Review Flags</x:v>
      </x:c>
    </x:row>
    <x:row r="2" ht="27" customHeight="1">
      <x:c r="A2" s="170" t="str">
        <x:v>One check per row. Resolve warnings before relying on the dashboard.</x:v>
      </x:c>
      <x:c r="B2" s="170" t="str">
        <x:v>One check per row. Resolve warnings before relying on the dashboard.</x:v>
      </x:c>
      <x:c r="C2" s="170" t="str">
        <x:v>One check per row. Resolve warnings before relying on the dashboard.</x:v>
      </x:c>
      <x:c r="D2" s="170" t="str">
        <x:v>One check per row. Resolve warnings before relying on the dashboard.</x:v>
      </x:c>
      <x:c r="E2" s="170" t="str">
        <x:v>One check per row. Resolve warnings before relying on the dashboard.</x:v>
      </x:c>
      <x:c r="F2" s="170" t="str">
        <x:v>One check per row. Resolve warnings before relying on the dashboard.</x:v>
      </x:c>
      <x:c r="G2" s="170" t="str">
        <x:v>One check per row. Resolve warnings before relying on the dashboard.</x:v>
      </x:c>
    </x:row>
    <x:row r="3">
      <x:c r="A3" s="171"/>
      <x:c r="B3" s="171"/>
      <x:c r="C3" s="171"/>
      <x:c r="D3" s="171"/>
      <x:c r="E3" s="171"/>
      <x:c r="F3" s="171"/>
      <x:c r="G3" s="171"/>
    </x:row>
    <x:row r="4" ht="25" customHeight="1">
      <x:c r="A4" s="21" t="str">
        <x:v>Check</x:v>
      </x:c>
      <x:c r="B4" s="21" t="str">
        <x:v>Actual</x:v>
      </x:c>
      <x:c r="C4" s="21" t="str">
        <x:v>Expected</x:v>
      </x:c>
      <x:c r="D4" s="21" t="str">
        <x:v>Difference</x:v>
      </x:c>
      <x:c r="E4" s="21" t="str">
        <x:v>Tolerance</x:v>
      </x:c>
      <x:c r="F4" s="21" t="str">
        <x:v>Status</x:v>
      </x:c>
      <x:c r="G4" s="21" t="str">
        <x:v>Fix / note</x:v>
      </x:c>
    </x:row>
    <x:row r="5">
      <x:c r="A5" s="171" t="str">
        <x:v>Budget totals tie</x:v>
      </x:c>
      <x:c r="B5" s="189" t="n">
        <x:f>'Monthly Budget'!C5</x:f>
        <x:v>104500</x:v>
      </x:c>
      <x:c r="C5" s="189" t="n">
        <x:f>'Monthly Budget'!C34</x:f>
        <x:v>104500</x:v>
      </x:c>
      <x:c r="D5" s="189" t="n">
        <x:f>B5-C5</x:f>
        <x:v>0</x:v>
      </x:c>
      <x:c r="E5" s="189" t="n">
        <x:f>1</x:f>
        <x:v>1</x:v>
      </x:c>
      <x:c r="F5" s="171" t="str">
        <x:f>IF(ABS(D5)&lt;=E5,"OK","CHECK")</x:f>
        <x:v>OK</x:v>
      </x:c>
      <x:c r="G5" s="171" t="str">
        <x:v>Monthly Budget total actual should equal category actual total.</x:v>
      </x:c>
    </x:row>
    <x:row r="6">
      <x:c r="A6" s="171" t="str">
        <x:v>Net worth ties</x:v>
      </x:c>
      <x:c r="B6" s="189" t="n">
        <x:f>'Net Worth'!F5</x:f>
        <x:v>4125000</x:v>
      </x:c>
      <x:c r="C6" s="189" t="n">
        <x:f>'Net Worth'!B20-'Net Worth'!F20</x:f>
        <x:v>4125000</x:v>
      </x:c>
      <x:c r="D6" s="189" t="n">
        <x:f>B6-C6</x:f>
        <x:v>0</x:v>
      </x:c>
      <x:c r="E6" s="189" t="n">
        <x:f>1</x:f>
        <x:v>1</x:v>
      </x:c>
      <x:c r="F6" s="171" t="str">
        <x:f>IF(ABS(D6)&lt;=E6,"OK","CHECK")</x:f>
        <x:v>OK</x:v>
      </x:c>
      <x:c r="G6" s="171" t="str">
        <x:v>Net worth should equal assets minus liabilities.</x:v>
      </x:c>
    </x:row>
    <x:row r="7">
      <x:c r="A7" s="171" t="str">
        <x:v>Goal monthly total ties</x:v>
      </x:c>
      <x:c r="B7" s="189" t="n">
        <x:f>'Goals'!I11</x:f>
        <x:v>115221.98400531938</x:v>
      </x:c>
      <x:c r="C7" s="189" t="n">
        <x:f>SUM('Goals'!I5:I9)</x:f>
        <x:v>115221.98400531938</x:v>
      </x:c>
      <x:c r="D7" s="189" t="n">
        <x:f>B7-C7</x:f>
        <x:v>0</x:v>
      </x:c>
      <x:c r="E7" s="189" t="n">
        <x:f>1</x:f>
        <x:v>1</x:v>
      </x:c>
      <x:c r="F7" s="171" t="str">
        <x:f>IF(ABS(D7)&lt;=E7,"OK","CHECK")</x:f>
        <x:v>OK</x:v>
      </x:c>
      <x:c r="G7" s="171" t="str">
        <x:v>Goals total should equal the sum of goal rows.</x:v>
      </x:c>
    </x:row>
    <x:row r="8">
      <x:c r="A8" s="171" t="str">
        <x:v>Allocation current %</x:v>
      </x:c>
      <x:c r="B8" s="190" t="n">
        <x:f>SUM('Investment Allocation'!C5:C9)</x:f>
        <x:v>1</x:v>
      </x:c>
      <x:c r="C8" s="190" t="n">
        <x:f>1</x:f>
        <x:v>1</x:v>
      </x:c>
      <x:c r="D8" s="190" t="n">
        <x:f>B8-C8</x:f>
        <x:v>0</x:v>
      </x:c>
      <x:c r="E8" s="190" t="n">
        <x:f>0.001</x:f>
        <x:v>0.001</x:v>
      </x:c>
      <x:c r="F8" s="171" t="str">
        <x:f>IF(ABS(D8)&lt;=E8,"OK","CHECK")</x:f>
        <x:v>OK</x:v>
      </x:c>
      <x:c r="G8" s="171" t="str">
        <x:v>Current allocation should total 100% when values exist.</x:v>
      </x:c>
    </x:row>
    <x:row r="9">
      <x:c r="A9" s="171" t="str">
        <x:v>Allocation target %</x:v>
      </x:c>
      <x:c r="B9" s="190" t="n">
        <x:f>SUM('Investment Allocation'!D5:D9)</x:f>
        <x:v>1</x:v>
      </x:c>
      <x:c r="C9" s="190" t="n">
        <x:f>1</x:f>
        <x:v>1</x:v>
      </x:c>
      <x:c r="D9" s="190" t="n">
        <x:f>B9-C9</x:f>
        <x:v>0</x:v>
      </x:c>
      <x:c r="E9" s="190" t="n">
        <x:f>0.001</x:f>
        <x:v>0.001</x:v>
      </x:c>
      <x:c r="F9" s="171" t="str">
        <x:f>IF(ABS(D9)&lt;=E9,"OK","CHECK")</x:f>
        <x:v>OK</x:v>
      </x:c>
      <x:c r="G9" s="171" t="str">
        <x:v>Target allocation must total 100%.</x:v>
      </x:c>
    </x:row>
    <x:row r="10">
      <x:c r="A10" s="171" t="str">
        <x:v>Emergency target positive</x:v>
      </x:c>
      <x:c r="B10" s="189" t="n">
        <x:f>'Emergency Fund'!E7</x:f>
        <x:v>417000</x:v>
      </x:c>
      <x:c r="C10" s="189" t="n">
        <x:f>MAX(0,B10)</x:f>
        <x:v>417000</x:v>
      </x:c>
      <x:c r="D10" s="189" t="n">
        <x:f>B10-C10</x:f>
        <x:v>0</x:v>
      </x:c>
      <x:c r="E10" s="189" t="n">
        <x:f>1</x:f>
        <x:v>1</x:v>
      </x:c>
      <x:c r="F10" s="171" t="str">
        <x:f>IF(ABS(D10)&lt;=E10,"OK","CHECK")</x:f>
        <x:v>OK</x:v>
      </x:c>
      <x:c r="G10" s="171" t="str">
        <x:v>Target cannot be negative.</x:v>
      </x:c>
    </x:row>
    <x:row r="11">
      <x:c r="A11" s="171" t="str">
        <x:v>Retirement ages valid</x:v>
      </x:c>
      <x:c r="B11" s="171" t="n">
        <x:f>'Retirement Plan'!B6-'Retirement Plan'!B5</x:f>
        <x:v>28</x:v>
      </x:c>
      <x:c r="C11" s="171" t="n">
        <x:f>MAX(0,B11)</x:f>
        <x:v>28</x:v>
      </x:c>
      <x:c r="D11" s="171" t="n">
        <x:f>B11-C11</x:f>
        <x:v>0</x:v>
      </x:c>
      <x:c r="E11" s="171" t="n">
        <x:f>0</x:f>
        <x:v>0</x:v>
      </x:c>
      <x:c r="F11" s="171" t="str">
        <x:f>IF(ABS(D11)&lt;=E11,"OK","CHECK")</x:f>
        <x:v>OK</x:v>
      </x:c>
      <x:c r="G11" s="171" t="str">
        <x:v>Retirement age must be at or above current age.</x:v>
      </x:c>
    </x:row>
    <x:row r="12">
      <x:c r="A12" s="171" t="str">
        <x:v>Dashboard source links</x:v>
      </x:c>
      <x:c r="B12" s="171" t="n">
        <x:f>COUNTA('Dashboard'!B4:B8)</x:f>
        <x:v>5</x:v>
      </x:c>
      <x:c r="C12" s="171" t="n">
        <x:f>5</x:f>
        <x:v>5</x:v>
      </x:c>
      <x:c r="D12" s="171" t="n">
        <x:f>B12-C12</x:f>
        <x:v>0</x:v>
      </x:c>
      <x:c r="E12" s="171" t="n">
        <x:f>0</x:f>
        <x:v>0</x:v>
      </x:c>
      <x:c r="F12" s="171" t="str">
        <x:f>IF(ABS(D12)&lt;=E12,"OK","CHECK")</x:f>
        <x:v>OK</x:v>
      </x:c>
      <x:c r="G12" s="171" t="str">
        <x:v>Dashboard should contain all five core linked outputs.</x:v>
      </x:c>
    </x:row>
    <x:row r="13">
      <x:c r="A13" s="171"/>
      <x:c r="B13" s="171"/>
      <x:c r="C13" s="171"/>
      <x:c r="D13" s="171"/>
      <x:c r="E13" s="171"/>
      <x:c r="F13" s="171"/>
      <x:c r="G13" s="171"/>
    </x:row>
    <x:row r="14">
      <x:c r="A14" s="171"/>
      <x:c r="B14" s="171"/>
      <x:c r="C14" s="171"/>
      <x:c r="D14" s="171"/>
      <x:c r="E14" s="171"/>
      <x:c r="F14" s="171"/>
      <x:c r="G14" s="171"/>
    </x:row>
    <x:row r="15" ht="23" customHeight="1">
      <x:c r="A15" s="16" t="str">
        <x:v>Overall model status</x:v>
      </x:c>
      <x:c r="B15" s="16" t="str">
        <x:v>Overall model status</x:v>
      </x:c>
      <x:c r="C15" s="16" t="str">
        <x:v>Overall model status</x:v>
      </x:c>
      <x:c r="D15" s="16" t="str">
        <x:v>Overall model status</x:v>
      </x:c>
      <x:c r="E15" s="16" t="str">
        <x:v>Overall model status</x:v>
      </x:c>
      <x:c r="F15" s="16" t="str">
        <x:v>Overall model status</x:v>
      </x:c>
      <x:c r="G15" s="16" t="str">
        <x:v>Overall model status</x:v>
      </x:c>
    </x:row>
    <x:row r="16">
      <x:c r="A16" s="171" t="str">
        <x:v>Checks passed</x:v>
      </x:c>
      <x:c r="B16" s="274" t="str">
        <x:f>COUNTIF(F5:F12,"OK")&amp;" / "&amp;COUNTA(A5:A12)</x:f>
        <x:v>8 / 8</x:v>
      </x:c>
      <x:c r="C16" s="171"/>
      <x:c r="D16" s="171"/>
      <x:c r="E16" s="171"/>
      <x:c r="F16" s="171"/>
      <x:c r="G16" s="171"/>
    </x:row>
    <x:row r="17">
      <x:c r="A17" s="171" t="str">
        <x:v>Status</x:v>
      </x:c>
      <x:c r="B17" s="269" t="str">
        <x:f>IF(COUNTIF(F5:F12,"CHECK")=0,"OK - ready to review","CHECK - resolve flags")</x:f>
        <x:v>OK - ready to review</x:v>
      </x:c>
      <x:c r="C17" s="171"/>
      <x:c r="D17" s="171"/>
      <x:c r="E17" s="171"/>
      <x:c r="F17" s="171"/>
      <x:c r="G17" s="171"/>
    </x:row>
    <x:row r="18">
      <x:c r="A18" s="171"/>
      <x:c r="B18" s="171"/>
      <x:c r="C18" s="171"/>
      <x:c r="D18" s="171"/>
      <x:c r="E18" s="171"/>
      <x:c r="F18" s="171"/>
      <x:c r="G18" s="171"/>
    </x:row>
    <x:row r="19">
      <x:c r="A19" s="171"/>
      <x:c r="B19" s="171"/>
      <x:c r="C19" s="171"/>
      <x:c r="D19" s="171"/>
      <x:c r="E19" s="171"/>
      <x:c r="F19" s="171"/>
      <x:c r="G19" s="171"/>
    </x:row>
    <x:row r="20" ht="32" customHeight="1">
      <x:c r="A20" s="182" t="str">
        <x:v>A passing model check only confirms internal consistency. It does not validate assumptions, product suitability, tax treatment or future returns.</x:v>
      </x:c>
      <x:c r="B20" s="182" t="str">
        <x:v>A passing model check only confirms internal consistency. It does not validate assumptions, product suitability, tax treatment or future returns.</x:v>
      </x:c>
      <x:c r="C20" s="182" t="str">
        <x:v>A passing model check only confirms internal consistency. It does not validate assumptions, product suitability, tax treatment or future returns.</x:v>
      </x:c>
      <x:c r="D20" s="182" t="str">
        <x:v>A passing model check only confirms internal consistency. It does not validate assumptions, product suitability, tax treatment or future returns.</x:v>
      </x:c>
      <x:c r="E20" s="182" t="str">
        <x:v>A passing model check only confirms internal consistency. It does not validate assumptions, product suitability, tax treatment or future returns.</x:v>
      </x:c>
      <x:c r="F20" s="182" t="str">
        <x:v>A passing model check only confirms internal consistency. It does not validate assumptions, product suitability, tax treatment or future returns.</x:v>
      </x:c>
      <x:c r="G20" s="182" t="str">
        <x:v>A passing model check only confirms internal consistency. It does not validate assumptions, product suitability, tax treatment or future returns.</x:v>
      </x:c>
    </x:row>
    <x:row r="21" ht="32" customHeight="1">
      <x:c r="A21" s="182" t="str">
        <x:v>A passing model check only confirms internal consistency. It does not validate assumptions, product suitability, tax treatment or future returns.</x:v>
      </x:c>
      <x:c r="B21" s="182" t="str">
        <x:v>A passing model check only confirms internal consistency. It does not validate assumptions, product suitability, tax treatment or future returns.</x:v>
      </x:c>
      <x:c r="C21" s="182" t="str">
        <x:v>A passing model check only confirms internal consistency. It does not validate assumptions, product suitability, tax treatment or future returns.</x:v>
      </x:c>
      <x:c r="D21" s="182" t="str">
        <x:v>A passing model check only confirms internal consistency. It does not validate assumptions, product suitability, tax treatment or future returns.</x:v>
      </x:c>
      <x:c r="E21" s="182" t="str">
        <x:v>A passing model check only confirms internal consistency. It does not validate assumptions, product suitability, tax treatment or future returns.</x:v>
      </x:c>
      <x:c r="F21" s="182" t="str">
        <x:v>A passing model check only confirms internal consistency. It does not validate assumptions, product suitability, tax treatment or future returns.</x:v>
      </x:c>
      <x:c r="G21" s="182" t="str">
        <x:v>A passing model check only confirms internal consistency. It does not validate assumptions, product suitability, tax treatment or future returns.</x:v>
      </x:c>
    </x:row>
  </x:sheetData>
  <x:mergeCells>
    <x:mergeCell ref="A1:G1"/>
    <x:mergeCell ref="A2:G2"/>
    <x:mergeCell ref="A15:G15"/>
    <x:mergeCell ref="A20:G21"/>
  </x:mergeCells>
  <x:conditionalFormatting sqref="F5:F12">
    <x:cfRule type="containsText" dxfId="6" priority="1" operator="containsText" text="OK"/>
    <x:cfRule type="containsText" dxfId="7" priority="2" operator="containsText" text="CHECK"/>
  </x:conditionalFormatting>
  <x:pageMargins left="0.7" right="0.7" top="0.75" bottom="0.75" header="0.3" footer="0.3"/>
</x:worksheet>
</file>