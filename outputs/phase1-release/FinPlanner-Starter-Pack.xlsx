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6796221ab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come" sheetId="1" r:id="R6b12d870e43340f5"/>
    <x:sheet xmlns:r="http://schemas.openxmlformats.org/officeDocument/2006/relationships" name="Monthly Budget" sheetId="2" r:id="R9152f0943a354e5e"/>
    <x:sheet xmlns:r="http://schemas.openxmlformats.org/officeDocument/2006/relationships" name="Net Worth" sheetId="3" r:id="Ra8bf393322da4e3e"/>
    <x:sheet xmlns:r="http://schemas.openxmlformats.org/officeDocument/2006/relationships" name="Goal Planner" sheetId="4" r:id="Rac44c390122e4f5b"/>
    <x:sheet xmlns:r="http://schemas.openxmlformats.org/officeDocument/2006/relationships" name="Emergency Fund" sheetId="5" r:id="Rf2e502fb5ebc4c82"/>
    <x:sheet xmlns:r="http://schemas.openxmlformats.org/officeDocument/2006/relationships" name="Annual Review" sheetId="6" r:id="R2df735221dbb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₹&quot;#,##0;[Red](&quot;₹&quot;#,##0);-"/>
    <x:numFmt numFmtId="201" formatCode="dd-mmm-yyyy"/>
    <x:numFmt numFmtId="202" formatCode="0"/>
    <x:numFmt numFmtId="203" formatCode="0.0%"/>
    <x:numFmt numFmtId="204" formatCode="0%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6F7FC"/>
      <x:name val="Carlito"/>
    </x:font>
    <x:font>
      <x:b/>
      <x:sz val="16"/>
      <x:color rgb="FF0F172A"/>
      <x:name val="Carlito"/>
    </x:font>
    <x:font>
      <x:sz val="11"/>
      <x:color rgb="FF15314A"/>
      <x:name val="Carlito"/>
    </x:font>
    <x:font>
      <x:b/>
      <x:sz val="10"/>
      <x:color rgb="FF0F172A"/>
      <x:name val="Carlito"/>
    </x:font>
    <x:font>
      <x:b/>
      <x:sz val="11"/>
      <x:color rgb="FF92400E"/>
      <x:name val="Carlito"/>
    </x:font>
    <x:font>
      <x:i/>
      <x:sz val="10"/>
      <x:color rgb="FF64748B"/>
      <x:name val="Carlito"/>
    </x:font>
    <x:font>
      <x:sz val="11"/>
      <x:color rgb="FF0000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11"/>
      <x:color rgb="FFE11D48"/>
      <x:name val="Carlito"/>
    </x:font>
    <x:font>
      <x:i/>
      <x:sz val="11"/>
      <x:color rgb="FF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71A2B"/>
      </x:patternFill>
    </x:fill>
    <x:fill>
      <x:patternFill patternType="solid">
        <x:fgColor rgb="FF15314A"/>
      </x:patternFill>
    </x:fill>
    <x:fill>
      <x:patternFill patternType="solid">
        <x:fgColor rgb="FFE6FAFD"/>
      </x:patternFill>
    </x:fill>
    <x:fill>
      <x:patternFill patternType="solid">
        <x:fgColor rgb="FFDDEBF3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  <x:fill>
      <x:patternFill patternType="solid">
        <x:fgColor rgb="FFFFF8CC"/>
      </x:patternFill>
    </x:fill>
    <x:fill>
      <x:patternFill patternType="solid">
        <x:fgColor rgb="FFE8FAF3"/>
      </x:patternFill>
    </x:fill>
    <x:fill>
      <x:patternFill patternType="solid">
        <x:fgColor rgb="FFFFF0F3"/>
      </x:patternFill>
    </x:fill>
  </x:fills>
  <x:borders count="24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left style="thin">
        <x:color rgb="FFE7D36B"/>
      </x:left>
      <x:right style="thin">
        <x:color rgb="FFE7D36B"/>
      </x:right>
      <x:top style="thin">
        <x:color rgb="FFE7D36B"/>
      </x:top>
      <x:bottom style="thin">
        <x:color rgb="FFE7D36B"/>
      </x:bottom>
    </x:border>
    <x:border>
      <x:left style="thin">
        <x:color rgb="FFA7E7D0"/>
      </x:left>
      <x:top style="thin">
        <x:color rgb="FFA7E7D0"/>
      </x:top>
      <x:bottom style="thin">
        <x:color rgb="FFA7E7D0"/>
      </x:bottom>
    </x:border>
    <x:border>
      <x:top style="thin">
        <x:color rgb="FFA7E7D0"/>
      </x:top>
      <x:bottom style="thin">
        <x:color rgb="FFA7E7D0"/>
      </x:bottom>
    </x:border>
    <x:border>
      <x:right style="thin">
        <x:color rgb="FFA7E7D0"/>
      </x:right>
      <x:top style="thin">
        <x:color rgb="FFA7E7D0"/>
      </x:top>
      <x:bottom style="thin">
        <x:color rgb="FFA7E7D0"/>
      </x:bottom>
    </x:border>
    <x:border>
      <x:left style="thin">
        <x:color rgb="FFA7E7D0"/>
      </x:left>
      <x:right style="thin">
        <x:color rgb="FFA7E7D0"/>
      </x:right>
      <x:top style="thin">
        <x:color rgb="FFA7E7D0"/>
      </x:top>
      <x:bottom style="thin">
        <x:color rgb="FFA7E7D0"/>
      </x:bottom>
    </x:border>
    <x:border>
      <x:left style="thin">
        <x:color rgb="FFE7D36B"/>
      </x:left>
      <x:top style="thin">
        <x:color rgb="FFE7D36B"/>
      </x:top>
    </x:border>
    <x:border>
      <x:right style="thin">
        <x:color rgb="FFE7D36B"/>
      </x:right>
      <x:top style="thin">
        <x:color rgb="FFE7D36B"/>
      </x:top>
    </x:border>
    <x:border>
      <x:left style="thin">
        <x:color rgb="FFE7D36B"/>
      </x:left>
    </x:border>
    <x:border>
      <x:right style="thin">
        <x:color rgb="FFE7D36B"/>
      </x:right>
    </x:border>
    <x:border>
      <x:left style="thin">
        <x:color rgb="FFE7D36B"/>
      </x:left>
      <x:bottom style="thin">
        <x:color rgb="FFE7D36B"/>
      </x:bottom>
    </x:border>
    <x:border>
      <x:right style="thin">
        <x:color rgb="FFE7D36B"/>
      </x:right>
      <x:bottom style="thin">
        <x:color rgb="FFE7D36B"/>
      </x:bottom>
    </x:border>
    <x:border>
      <x:left style="thin">
        <x:color rgb="FF15314A"/>
      </x:left>
      <x:top style="thin">
        <x:color rgb="FF15314A"/>
      </x:top>
      <x:bottom style="thin">
        <x:color rgb="FF15314A"/>
      </x:bottom>
    </x:border>
    <x:border>
      <x:top style="thin">
        <x:color rgb="FF15314A"/>
      </x:top>
      <x:bottom style="thin">
        <x:color rgb="FF15314A"/>
      </x:bottom>
    </x:border>
    <x:border>
      <x:right style="thin">
        <x:color rgb="FF15314A"/>
      </x:right>
      <x:top style="thin">
        <x:color rgb="FF15314A"/>
      </x:top>
      <x:bottom style="thin">
        <x:color rgb="FF15314A"/>
      </x:bottom>
    </x:border>
    <x:border>
      <x:left style="thin">
        <x:color rgb="FFE7D36B"/>
      </x:left>
      <x:right style="thin">
        <x:color rgb="FFE7D36B"/>
      </x:right>
      <x:top style="thin">
        <x:color rgb="FFE7D36B"/>
      </x:top>
    </x:border>
    <x:border>
      <x:left style="thin">
        <x:color rgb="FFE7D36B"/>
      </x:left>
      <x:right style="thin">
        <x:color rgb="FFE7D36B"/>
      </x:right>
    </x:border>
    <x:border>
      <x:left style="thin">
        <x:color rgb="FFE7D36B"/>
      </x:left>
      <x:right style="thin">
        <x:color rgb="FFE7D36B"/>
      </x:right>
      <x:bottom style="thin">
        <x:color rgb="FFE7D36B"/>
      </x:bottom>
    </x:border>
    <x:border>
      <x:left style="thin">
        <x:color rgb="FFA7E7D0"/>
      </x:left>
      <x:right style="thin">
        <x:color rgb="FFA7E7D0"/>
      </x:right>
      <x:top style="thin">
        <x:color rgb="FFA7E7D0"/>
      </x:top>
    </x:border>
    <x:border>
      <x:left style="thin">
        <x:color rgb="FFA7E7D0"/>
      </x:left>
      <x:right style="thin">
        <x:color rgb="FFA7E7D0"/>
      </x:right>
    </x:border>
    <x:border>
      <x:left style="thin">
        <x:color rgb="FFA7E7D0"/>
      </x:left>
      <x:right style="thin">
        <x:color rgb="FFA7E7D0"/>
      </x:right>
      <x:bottom style="thin">
        <x:color rgb="FFA7E7D0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200" fontId="9" fillId="9" borderId="5" xfId="0" applyNumberFormat="1" applyFont="1" applyFill="1" applyBorder="1"/>
    <x:xf numFmtId="200" fontId="9" fillId="9" borderId="6" xfId="0" applyNumberFormat="1" applyFont="1" applyFill="1" applyBorder="1"/>
    <x:xf numFmtId="20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200" fontId="8" fillId="8" borderId="9" xfId="0" applyNumberFormat="1" applyFont="1" applyFill="1" applyBorder="1"/>
    <x:xf numFmtId="200" fontId="8" fillId="8" borderId="10" xfId="0" applyNumberFormat="1" applyFont="1" applyFill="1" applyBorder="1"/>
    <x:xf numFmtId="200" fontId="8" fillId="8" borderId="11" xfId="0" applyNumberFormat="1" applyFont="1" applyFill="1" applyBorder="1"/>
    <x:xf numFmtId="200" fontId="8" fillId="8" borderId="12" xfId="0" applyNumberFormat="1" applyFont="1" applyFill="1" applyBorder="1"/>
    <x:xf numFmtId="200" fontId="8" fillId="8" borderId="13" xfId="0" applyNumberFormat="1" applyFont="1" applyFill="1" applyBorder="1"/>
    <x:xf numFmtId="200" fontId="8" fillId="8" borderId="14" xfId="0" applyNumberFormat="1" applyFont="1" applyFill="1" applyBorder="1"/>
    <x:xf numFmtId="200" fontId="0" fillId="0" borderId="0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200" fontId="10" fillId="3" borderId="16" xfId="0" applyNumberFormat="1" applyFont="1" applyFill="1" applyBorder="1"/>
    <x:xf numFmtId="201" fontId="0" fillId="0" borderId="0" xfId="0" applyNumberFormat="1" applyFont="1" applyFill="1" applyBorder="1"/>
    <x:xf numFmtId="201" fontId="0" fillId="8" borderId="0" xfId="0" applyNumberFormat="1" applyFont="1" applyFill="1" applyBorder="1"/>
    <x:xf numFmtId="201" fontId="8" fillId="8" borderId="0" xfId="0" applyNumberFormat="1" applyFont="1" applyFill="1" applyBorder="1"/>
    <x:xf numFmtId="201" fontId="8" fillId="8" borderId="4" xfId="0" applyNumberFormat="1" applyFont="1" applyFill="1" applyBorder="1"/>
    <x:xf numFmtId="200" fontId="9" fillId="9" borderId="8" xfId="0" applyNumberFormat="1" applyFont="1" applyFill="1" applyBorder="1"/>
    <x:xf numFmtId="0" fontId="8" fillId="8" borderId="18" xfId="0" applyNumberFormat="1" applyFont="1" applyFill="1" applyBorder="1"/>
    <x:xf numFmtId="0" fontId="8" fillId="8" borderId="19" xfId="0" applyNumberFormat="1" applyFont="1" applyFill="1" applyBorder="1"/>
    <x:xf numFmtId="0" fontId="8" fillId="8" borderId="20" xfId="0" applyNumberFormat="1" applyFont="1" applyFill="1" applyBorder="1"/>
    <x:xf numFmtId="200" fontId="8" fillId="8" borderId="18" xfId="0" applyNumberFormat="1" applyFont="1" applyFill="1" applyBorder="1"/>
    <x:xf numFmtId="200" fontId="8" fillId="8" borderId="19" xfId="0" applyNumberFormat="1" applyFont="1" applyFill="1" applyBorder="1"/>
    <x:xf numFmtId="200" fontId="8" fillId="8" borderId="20" xfId="0" applyNumberFormat="1" applyFont="1" applyFill="1" applyBorder="1"/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200" fontId="9" fillId="9" borderId="0" xfId="0" applyNumberFormat="1" applyFont="1" applyFill="1" applyBorder="1"/>
    <x:xf numFmtId="200" fontId="11" fillId="10" borderId="0" xfId="0" applyNumberFormat="1" applyFont="1" applyFill="1" applyBorder="1"/>
    <x:xf numFmtId="202" fontId="8" fillId="8" borderId="19" xfId="0" applyNumberFormat="1" applyFont="1" applyFill="1" applyBorder="1"/>
    <x:xf numFmtId="203" fontId="8" fillId="8" borderId="19" xfId="0" applyNumberFormat="1" applyFont="1" applyFill="1" applyBorder="1"/>
    <x:xf numFmtId="203" fontId="8" fillId="8" borderId="20" xfId="0" applyNumberFormat="1" applyFont="1" applyFill="1" applyBorder="1"/>
    <x:xf numFmtId="0" fontId="9" fillId="9" borderId="21" xfId="0" applyNumberFormat="1" applyFont="1" applyFill="1" applyBorder="1"/>
    <x:xf numFmtId="0" fontId="9" fillId="9" borderId="22" xfId="0" applyNumberFormat="1" applyFont="1" applyFill="1" applyBorder="1"/>
    <x:xf numFmtId="0" fontId="9" fillId="9" borderId="23" xfId="0" applyNumberFormat="1" applyFont="1" applyFill="1" applyBorder="1"/>
    <x:xf numFmtId="200" fontId="9" fillId="9" borderId="21" xfId="0" applyNumberFormat="1" applyFont="1" applyFill="1" applyBorder="1"/>
    <x:xf numFmtId="200" fontId="9" fillId="9" borderId="22" xfId="0" applyNumberFormat="1" applyFont="1" applyFill="1" applyBorder="1"/>
    <x:xf numFmtId="200" fontId="9" fillId="9" borderId="23" xfId="0" applyNumberFormat="1" applyFont="1" applyFill="1" applyBorder="1"/>
    <x:xf numFmtId="0" fontId="9" fillId="9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200" fontId="8" fillId="8" borderId="4" xfId="0" applyNumberFormat="1" applyFont="1" applyFill="1" applyBorder="1"/>
    <x:xf numFmtId="0" fontId="8" fillId="8" borderId="11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204" fontId="9" fillId="9" borderId="8" xfId="0" applyNumberFormat="1" applyFont="1" applyFill="1" applyBorder="1"/>
    <x:xf numFmtId="202" fontId="9" fillId="9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c0589fc60466c" /><Relationship Type="http://schemas.openxmlformats.org/officeDocument/2006/relationships/theme" Target="/xl/theme/theme1.xml" Id="Rfe18980cc9c64b64" /><Relationship Type="http://schemas.openxmlformats.org/officeDocument/2006/relationships/sharedStrings" Target="/xl/sharedStrings.xml" Id="R3bed61bd97c443e7" /><Relationship Type="http://schemas.openxmlformats.org/officeDocument/2006/relationships/worksheet" Target="/xl/worksheets/sheet1.xml" Id="R6b12d870e43340f5" /><Relationship Type="http://schemas.openxmlformats.org/officeDocument/2006/relationships/worksheet" Target="/xl/worksheets/sheet2.xml" Id="R9152f0943a354e5e" /><Relationship Type="http://schemas.openxmlformats.org/officeDocument/2006/relationships/worksheet" Target="/xl/worksheets/sheet3.xml" Id="Ra8bf393322da4e3e" /><Relationship Type="http://schemas.openxmlformats.org/officeDocument/2006/relationships/worksheet" Target="/xl/worksheets/sheet4.xml" Id="Rac44c390122e4f5b" /><Relationship Type="http://schemas.openxmlformats.org/officeDocument/2006/relationships/worksheet" Target="/xl/worksheets/sheet5.xml" Id="Rf2e502fb5ebc4c82" /><Relationship Type="http://schemas.openxmlformats.org/officeDocument/2006/relationships/worksheet" Target="/xl/worksheets/sheet6.xml" Id="R2df735221dbb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FinPlanner Starter Pack</x:v>
      </x:c>
    </x:row>
    <x:row r="2" ht="28" customHeight="1">
      <x:c r="A2" s="7" t="str">
        <x:v>A private, editable money-planning workbook for Indian households.</x:v>
      </x:c>
    </x:row>
    <x:row r="4" ht="30" customHeight="1">
      <x:c r="A4" s="8" t="str">
        <x:v>Start here</x:v>
      </x:c>
    </x:row>
    <x:row r="5" ht="54" customHeight="1">
      <x:c r="A5" s="12" t="str">
        <x:v>Use the tabs below in any order. Yellow cells with blue text are yours to edit. Green panels calculate automatically. Keep a fresh copy before making major changes.</x:v>
      </x:c>
    </x:row>
    <x:row r="9" ht="24" customHeight="1">
      <x:c r="A9" s="19" t="str">
        <x:v>Sheet</x:v>
      </x:c>
      <x:c r="B9" s="20" t="str">
        <x:v>What it helps you do</x:v>
      </x:c>
    </x:row>
    <x:row r="10" ht="28" customHeight="1">
      <x:c r="A10" s="22" t="str">
        <x:v>Monthly Budget</x:v>
      </x:c>
      <x:c r="B10" s="22" t="str">
        <x:v>Plan monthly spending and spot overspending</x:v>
      </x:c>
    </x:row>
    <x:row r="11" ht="28" customHeight="1">
      <x:c r="A11" s="22" t="str">
        <x:v>Net Worth</x:v>
      </x:c>
      <x:c r="B11" s="22" t="str">
        <x:v>Track assets, liabilities, and net worth</x:v>
      </x:c>
    </x:row>
    <x:row r="12" ht="28" customHeight="1">
      <x:c r="A12" s="22" t="str">
        <x:v>Goal Planner</x:v>
      </x:c>
      <x:c r="B12" s="22" t="str">
        <x:v>Estimate the monthly saving needed for one goal</x:v>
      </x:c>
    </x:row>
    <x:row r="13" ht="28" customHeight="1">
      <x:c r="A13" s="22" t="str">
        <x:v>Emergency Fund</x:v>
      </x:c>
      <x:c r="B13" s="22" t="str">
        <x:v>Set a cash-reserve target and close the gap</x:v>
      </x:c>
    </x:row>
    <x:row r="14" ht="28" customHeight="1">
      <x:c r="A14" s="22" t="str">
        <x:v>Annual Review</x:v>
      </x:c>
      <x:c r="B14" s="22" t="str">
        <x:v>Complete a simple yearly financial health check</x:v>
      </x:c>
    </x:row>
    <x:row r="15" ht="28" customHeight="1">
      <x:c r="A15" s="24" t="str">
        <x:v>Important</x:v>
      </x:c>
      <x:c r="B15" s="24" t="str">
        <x:v>Educational planning tool - not investment, tax, or legal advice</x:v>
      </x:c>
    </x:row>
    <x:row r="17" ht="40" customHeight="1">
      <x:c r="A17" s="27" t="str">
        <x:v>Privacy note: This workbook stays on your device unless you choose to upload or share it. Avoid storing account passwords, PINs, or identity documents here.</x:v>
      </x:c>
    </x:row>
  </x:sheetData>
  <x:mergeCells>
    <x:mergeCell ref="A1:F1"/>
    <x:mergeCell ref="A2:F2"/>
    <x:mergeCell ref="A4:F4"/>
    <x:mergeCell ref="A5:F7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</x:cols>
  <x:sheetData>
    <x:row r="1" ht="34" customHeight="1">
      <x:c r="A1" s="3" t="str">
        <x:v>Monthly Budget</x:v>
      </x:c>
    </x:row>
    <x:row r="2" ht="28" customHeight="1">
      <x:c r="A2" s="7" t="str">
        <x:v>Enter planned and actual monthly amounts. Variance is planned minus actual.</x:v>
      </x:c>
    </x:row>
    <x:row r="4" ht="24" customHeight="1">
      <x:c r="A4" s="19" t="str">
        <x:v>Month</x:v>
      </x:c>
      <x:c r="B4" s="30" t="str">
        <x:v>Total planned</x:v>
      </x:c>
      <x:c r="C4" s="30" t="str">
        <x:v>Total actual</x:v>
      </x:c>
      <x:c r="D4" s="30" t="str">
        <x:v>Money left</x:v>
      </x:c>
      <x:c r="E4" s="20" t="str">
        <x:v>Budget status</x:v>
      </x:c>
    </x:row>
    <x:row r="5">
      <x:c r="A5" s="33" t="str">
        <x:v>Enter month</x:v>
      </x:c>
      <x:c r="B5" s="39" t="n">
        <x:f>SUM(B8:B19)</x:f>
        <x:v>0</x:v>
      </x:c>
      <x:c r="C5" s="40" t="n">
        <x:f>SUM(C8:C19)</x:f>
        <x:v>0</x:v>
      </x:c>
      <x:c r="D5" s="41" t="n">
        <x:f>B5-C5</x:f>
        <x:v>0</x:v>
      </x:c>
      <x:c r="E5" s="42" t="str">
        <x:f>IF(C5&lt;=B5,"On track","Over budget")</x:f>
        <x:v>On track</x:v>
      </x:c>
    </x:row>
    <x:row r="7" ht="24" customHeight="1">
      <x:c r="A7" s="44" t="str">
        <x:v>Spending plan</x:v>
      </x:c>
      <x:c r="B7" s="44" t="str">
        <x:v>Spending plan</x:v>
      </x:c>
      <x:c r="C7" s="44" t="str">
        <x:v>Spending plan</x:v>
      </x:c>
      <x:c r="D7" s="44" t="str">
        <x:v>Spending plan</x:v>
      </x:c>
      <x:c r="E7" s="44" t="str">
        <x:v>Spending plan</x:v>
      </x:c>
    </x:row>
    <x:row r="8" ht="24" customHeight="1">
      <x:c r="A8" s="19" t="str">
        <x:v>Category</x:v>
      </x:c>
      <x:c r="B8" s="30" t="str">
        <x:v>Planned (₹)</x:v>
      </x:c>
      <x:c r="C8" s="30" t="str">
        <x:v>Actual (₹)</x:v>
      </x:c>
      <x:c r="D8" s="30" t="str">
        <x:v>Variance (₹)</x:v>
      </x:c>
      <x:c r="E8" s="20" t="str">
        <x:v>Status</x:v>
      </x:c>
    </x:row>
    <x:row r="9">
      <x:c r="A9" t="str">
        <x:v>Housing</x:v>
      </x:c>
      <x:c r="B9" s="51" t="n">
        <x:v>0</x:v>
      </x:c>
      <x:c r="C9" s="52" t="n">
        <x:v>0</x:v>
      </x:c>
      <x:c r="D9" s="57" t="n">
        <x:f>B9-C9</x:f>
        <x:v>0</x:v>
      </x:c>
      <x:c r="E9" t="str">
        <x:f>IF(C9&lt;=B9,"On track","Over")</x:f>
        <x:v>On track</x:v>
      </x:c>
    </x:row>
    <x:row r="10">
      <x:c r="A10" t="str">
        <x:v>Utilities</x:v>
      </x:c>
      <x:c r="B10" s="53" t="n">
        <x:v>0</x:v>
      </x:c>
      <x:c r="C10" s="54" t="n">
        <x:v>0</x:v>
      </x:c>
      <x:c r="D10" s="57" t="n">
        <x:f>B10-C10</x:f>
        <x:v>0</x:v>
      </x:c>
      <x:c r="E10" t="str">
        <x:f>IF(C10&lt;=B10,"On track","Over")</x:f>
        <x:v>On track</x:v>
      </x:c>
    </x:row>
    <x:row r="11">
      <x:c r="A11" t="str">
        <x:v>Groceries</x:v>
      </x:c>
      <x:c r="B11" s="53" t="n">
        <x:v>0</x:v>
      </x:c>
      <x:c r="C11" s="54" t="n">
        <x:v>0</x:v>
      </x:c>
      <x:c r="D11" s="57" t="n">
        <x:f>B11-C11</x:f>
        <x:v>0</x:v>
      </x:c>
      <x:c r="E11" t="str">
        <x:f>IF(C11&lt;=B11,"On track","Over")</x:f>
        <x:v>On track</x:v>
      </x:c>
    </x:row>
    <x:row r="12">
      <x:c r="A12" t="str">
        <x:v>Transport</x:v>
      </x:c>
      <x:c r="B12" s="53" t="n">
        <x:v>0</x:v>
      </x:c>
      <x:c r="C12" s="54" t="n">
        <x:v>0</x:v>
      </x:c>
      <x:c r="D12" s="57" t="n">
        <x:f>B12-C12</x:f>
        <x:v>0</x:v>
      </x:c>
      <x:c r="E12" t="str">
        <x:f>IF(C12&lt;=B12,"On track","Over")</x:f>
        <x:v>On track</x:v>
      </x:c>
    </x:row>
    <x:row r="13">
      <x:c r="A13" t="str">
        <x:v>Healthcare</x:v>
      </x:c>
      <x:c r="B13" s="53" t="n">
        <x:v>0</x:v>
      </x:c>
      <x:c r="C13" s="54" t="n">
        <x:v>0</x:v>
      </x:c>
      <x:c r="D13" s="57" t="n">
        <x:f>B13-C13</x:f>
        <x:v>0</x:v>
      </x:c>
      <x:c r="E13" t="str">
        <x:f>IF(C13&lt;=B13,"On track","Over")</x:f>
        <x:v>On track</x:v>
      </x:c>
    </x:row>
    <x:row r="14">
      <x:c r="A14" t="str">
        <x:v>Insurance</x:v>
      </x:c>
      <x:c r="B14" s="53" t="n">
        <x:v>0</x:v>
      </x:c>
      <x:c r="C14" s="54" t="n">
        <x:v>0</x:v>
      </x:c>
      <x:c r="D14" s="57" t="n">
        <x:f>B14-C14</x:f>
        <x:v>0</x:v>
      </x:c>
      <x:c r="E14" t="str">
        <x:f>IF(C14&lt;=B14,"On track","Over")</x:f>
        <x:v>On track</x:v>
      </x:c>
    </x:row>
    <x:row r="15">
      <x:c r="A15" t="str">
        <x:v>Education</x:v>
      </x:c>
      <x:c r="B15" s="53" t="n">
        <x:v>0</x:v>
      </x:c>
      <x:c r="C15" s="54" t="n">
        <x:v>0</x:v>
      </x:c>
      <x:c r="D15" s="57" t="n">
        <x:f>B15-C15</x:f>
        <x:v>0</x:v>
      </x:c>
      <x:c r="E15" t="str">
        <x:f>IF(C15&lt;=B15,"On track","Over")</x:f>
        <x:v>On track</x:v>
      </x:c>
    </x:row>
    <x:row r="16">
      <x:c r="A16" t="str">
        <x:v>Debt payments</x:v>
      </x:c>
      <x:c r="B16" s="53" t="n">
        <x:v>0</x:v>
      </x:c>
      <x:c r="C16" s="54" t="n">
        <x:v>0</x:v>
      </x:c>
      <x:c r="D16" s="57" t="n">
        <x:f>B16-C16</x:f>
        <x:v>0</x:v>
      </x:c>
      <x:c r="E16" t="str">
        <x:f>IF(C16&lt;=B16,"On track","Over")</x:f>
        <x:v>On track</x:v>
      </x:c>
    </x:row>
    <x:row r="17">
      <x:c r="A17" t="str">
        <x:v>Investments</x:v>
      </x:c>
      <x:c r="B17" s="53" t="n">
        <x:v>0</x:v>
      </x:c>
      <x:c r="C17" s="54" t="n">
        <x:v>0</x:v>
      </x:c>
      <x:c r="D17" s="57" t="n">
        <x:f>B17-C17</x:f>
        <x:v>0</x:v>
      </x:c>
      <x:c r="E17" t="str">
        <x:f>IF(C17&lt;=B17,"On track","Over")</x:f>
        <x:v>On track</x:v>
      </x:c>
    </x:row>
    <x:row r="18">
      <x:c r="A18" t="str">
        <x:v>Lifestyle</x:v>
      </x:c>
      <x:c r="B18" s="53" t="n">
        <x:v>0</x:v>
      </x:c>
      <x:c r="C18" s="54" t="n">
        <x:v>0</x:v>
      </x:c>
      <x:c r="D18" s="57" t="n">
        <x:f>B18-C18</x:f>
        <x:v>0</x:v>
      </x:c>
      <x:c r="E18" t="str">
        <x:f>IF(C18&lt;=B18,"On track","Over")</x:f>
        <x:v>On track</x:v>
      </x:c>
    </x:row>
    <x:row r="19">
      <x:c r="A19" t="str">
        <x:v>Giving</x:v>
      </x:c>
      <x:c r="B19" s="53" t="n">
        <x:v>0</x:v>
      </x:c>
      <x:c r="C19" s="54" t="n">
        <x:v>0</x:v>
      </x:c>
      <x:c r="D19" s="57" t="n">
        <x:f>B19-C19</x:f>
        <x:v>0</x:v>
      </x:c>
      <x:c r="E19" t="str">
        <x:f>IF(C19&lt;=B19,"On track","Over")</x:f>
        <x:v>On track</x:v>
      </x:c>
    </x:row>
    <x:row r="20">
      <x:c r="A20" t="str">
        <x:v>Other</x:v>
      </x:c>
      <x:c r="B20" s="55" t="n">
        <x:v>0</x:v>
      </x:c>
      <x:c r="C20" s="56" t="n">
        <x:v>0</x:v>
      </x:c>
      <x:c r="D20" s="57" t="n">
        <x:f>B20-C20</x:f>
        <x:v>0</x:v>
      </x:c>
      <x:c r="E20" t="str">
        <x:f>IF(C20&lt;=B20,"On track","Over")</x:f>
        <x:v>On track</x:v>
      </x:c>
    </x:row>
    <x:row r="21">
      <x:c r="A21" s="58" t="str">
        <x:v>TOTAL</x:v>
      </x:c>
      <x:c r="B21" s="61" t="n">
        <x:f>SUM(B9:B20)</x:f>
        <x:v>0</x:v>
      </x:c>
      <x:c r="C21" s="61" t="n">
        <x:f>SUM(C9:C20)</x:f>
        <x:v>0</x:v>
      </x:c>
      <x:c r="D21" s="61" t="n">
        <x:f>B21-C21</x:f>
        <x:v>0</x:v>
      </x:c>
      <x:c r="E21" s="60" t="str">
        <x:f>IF(C21&lt;=B21,"On track","Over budget")</x:f>
        <x:v>On track</x:v>
      </x:c>
    </x:row>
  </x:sheetData>
  <x:mergeCells>
    <x:mergeCell ref="A1:E1"/>
    <x:mergeCell ref="A2:E2"/>
    <x:mergeCell ref="A7:E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4" hidden="0" customWidth="1"/>
    <x:col min="5" max="5" width="22" hidden="0" customWidth="1"/>
    <x:col min="6" max="6" width="18" hidden="0" customWidth="1"/>
    <x:col min="7" max="7" width="24" hidden="0" customWidth="1"/>
  </x:cols>
  <x:sheetData>
    <x:row r="1" ht="34" customHeight="1">
      <x:c r="A1" s="3" t="str">
        <x:v>Net Worth Tracker</x:v>
      </x:c>
    </x:row>
    <x:row r="2" ht="28" customHeight="1">
      <x:c r="A2" s="7" t="str">
        <x:v>Update periodically to see the difference between what you own and what you owe.</x:v>
      </x:c>
    </x:row>
    <x:row r="4" ht="24" customHeight="1">
      <x:c r="A4" s="19" t="str">
        <x:v>As of date</x:v>
      </x:c>
      <x:c r="B4" s="30"/>
      <x:c r="C4" s="30" t="str">
        <x:v>Total assets</x:v>
      </x:c>
      <x:c r="D4" s="30"/>
      <x:c r="E4" s="30" t="str">
        <x:v>Total liabilities</x:v>
      </x:c>
      <x:c r="F4" s="30"/>
      <x:c r="G4" s="20" t="str">
        <x:v>Net worth</x:v>
      </x:c>
    </x:row>
    <x:row r="5">
      <x:c r="A5" s="65" t="n">
        <x:v>46234.77436293982</x:v>
      </x:c>
      <x:c r="C5" s="66" t="n">
        <x:f>SUM(B9:B18)</x:f>
        <x:v>0</x:v>
      </x:c>
      <x:c r="E5" s="66" t="n">
        <x:f>SUM(F9:F18)</x:f>
        <x:v>0</x:v>
      </x:c>
      <x:c r="G5" s="66" t="n">
        <x:f>C5-E5</x:f>
        <x:v>0</x:v>
      </x:c>
    </x:row>
    <x:row r="7" ht="24" customHeight="1">
      <x:c r="A7" s="44" t="str">
        <x:v>Assets</x:v>
      </x:c>
      <x:c r="B7" s="44" t="str">
        <x:v>Assets</x:v>
      </x:c>
      <x:c r="C7" s="44" t="str">
        <x:v>Assets</x:v>
      </x:c>
      <x:c r="E7" s="44" t="str">
        <x:v>Liabilities</x:v>
      </x:c>
      <x:c r="F7" s="44" t="str">
        <x:v>Liabilities</x:v>
      </x:c>
      <x:c r="G7" s="44" t="str">
        <x:v>Liabilities</x:v>
      </x:c>
    </x:row>
    <x:row r="8" ht="24" customHeight="1">
      <x:c r="A8" s="19" t="str">
        <x:v>Asset</x:v>
      </x:c>
      <x:c r="B8" s="30" t="str">
        <x:v>Value (₹)</x:v>
      </x:c>
      <x:c r="C8" s="20" t="str">
        <x:v>Notes</x:v>
      </x:c>
      <x:c r="E8" s="19" t="str">
        <x:v>Liability</x:v>
      </x:c>
      <x:c r="F8" s="30" t="str">
        <x:v>Balance (₹)</x:v>
      </x:c>
      <x:c r="G8" s="20" t="str">
        <x:v>Notes</x:v>
      </x:c>
    </x:row>
    <x:row r="9">
      <x:c r="A9" t="str">
        <x:v>Cash</x:v>
      </x:c>
      <x:c r="B9" s="70" t="n">
        <x:v>0</x:v>
      </x:c>
      <x:c r="C9" s="67"/>
      <x:c r="E9" t="str">
        <x:v>Home loan</x:v>
      </x:c>
      <x:c r="F9" s="70" t="n">
        <x:v>0</x:v>
      </x:c>
      <x:c r="G9" s="67"/>
    </x:row>
    <x:row r="10">
      <x:c r="A10" t="str">
        <x:v>Fixed deposits</x:v>
      </x:c>
      <x:c r="B10" s="71" t="n">
        <x:v>0</x:v>
      </x:c>
      <x:c r="C10" s="68"/>
      <x:c r="E10" t="str">
        <x:v>Vehicle loan</x:v>
      </x:c>
      <x:c r="F10" s="71" t="n">
        <x:v>0</x:v>
      </x:c>
      <x:c r="G10" s="68"/>
    </x:row>
    <x:row r="11">
      <x:c r="A11" t="str">
        <x:v>Mutual funds</x:v>
      </x:c>
      <x:c r="B11" s="71" t="n">
        <x:v>0</x:v>
      </x:c>
      <x:c r="C11" s="68"/>
      <x:c r="E11" t="str">
        <x:v>Education loan</x:v>
      </x:c>
      <x:c r="F11" s="71" t="n">
        <x:v>0</x:v>
      </x:c>
      <x:c r="G11" s="68"/>
    </x:row>
    <x:row r="12">
      <x:c r="A12" t="str">
        <x:v>Stocks</x:v>
      </x:c>
      <x:c r="B12" s="71" t="n">
        <x:v>0</x:v>
      </x:c>
      <x:c r="C12" s="68"/>
      <x:c r="E12" t="str">
        <x:v>Personal loan</x:v>
      </x:c>
      <x:c r="F12" s="71" t="n">
        <x:v>0</x:v>
      </x:c>
      <x:c r="G12" s="68"/>
    </x:row>
    <x:row r="13">
      <x:c r="A13" t="str">
        <x:v>Retirement accounts</x:v>
      </x:c>
      <x:c r="B13" s="71" t="n">
        <x:v>0</x:v>
      </x:c>
      <x:c r="C13" s="68"/>
      <x:c r="E13" t="str">
        <x:v>Credit card</x:v>
      </x:c>
      <x:c r="F13" s="71" t="n">
        <x:v>0</x:v>
      </x:c>
      <x:c r="G13" s="68"/>
    </x:row>
    <x:row r="14">
      <x:c r="A14" t="str">
        <x:v>Gold</x:v>
      </x:c>
      <x:c r="B14" s="71" t="n">
        <x:v>0</x:v>
      </x:c>
      <x:c r="C14" s="68"/>
      <x:c r="E14" t="str">
        <x:v>Buy-now-pay-later</x:v>
      </x:c>
      <x:c r="F14" s="71" t="n">
        <x:v>0</x:v>
      </x:c>
      <x:c r="G14" s="68"/>
    </x:row>
    <x:row r="15">
      <x:c r="A15" t="str">
        <x:v>Home</x:v>
      </x:c>
      <x:c r="B15" s="71" t="n">
        <x:v>0</x:v>
      </x:c>
      <x:c r="C15" s="68"/>
      <x:c r="E15" t="str">
        <x:v>Taxes due</x:v>
      </x:c>
      <x:c r="F15" s="71" t="n">
        <x:v>0</x:v>
      </x:c>
      <x:c r="G15" s="68"/>
    </x:row>
    <x:row r="16">
      <x:c r="A16" t="str">
        <x:v>Other property</x:v>
      </x:c>
      <x:c r="B16" s="71" t="n">
        <x:v>0</x:v>
      </x:c>
      <x:c r="C16" s="68"/>
      <x:c r="E16" t="str">
        <x:v>Family loan</x:v>
      </x:c>
      <x:c r="F16" s="71" t="n">
        <x:v>0</x:v>
      </x:c>
      <x:c r="G16" s="68"/>
    </x:row>
    <x:row r="17">
      <x:c r="A17" t="str">
        <x:v>Vehicle</x:v>
      </x:c>
      <x:c r="B17" s="71" t="n">
        <x:v>0</x:v>
      </x:c>
      <x:c r="C17" s="68"/>
      <x:c r="E17" t="str">
        <x:v>Other debt</x:v>
      </x:c>
      <x:c r="F17" s="71" t="n">
        <x:v>0</x:v>
      </x:c>
      <x:c r="G17" s="68"/>
    </x:row>
    <x:row r="18">
      <x:c r="A18" t="str">
        <x:v>Other assets</x:v>
      </x:c>
      <x:c r="B18" s="72" t="n">
        <x:v>0</x:v>
      </x:c>
      <x:c r="C18" s="69"/>
      <x:c r="E18" t="str">
        <x:v>Other liability</x:v>
      </x:c>
      <x:c r="F18" s="72" t="n">
        <x:v>0</x:v>
      </x:c>
      <x:c r="G18" s="69"/>
    </x:row>
    <x:row r="19">
      <x:c r="A19" s="35" t="str">
        <x:v>TOTAL ASSETS</x:v>
      </x:c>
      <x:c r="B19" s="75" t="n">
        <x:f>SUM(B9:B18)</x:f>
        <x:v>0</x:v>
      </x:c>
      <x:c r="C19" s="35"/>
      <x:c r="E19" s="74" t="str">
        <x:v>TOTAL LIABILITIES</x:v>
      </x:c>
      <x:c r="F19" s="76" t="n">
        <x:f>SUM(F9:F18)</x:f>
        <x:v>0</x:v>
      </x:c>
      <x:c r="G19" s="74"/>
    </x:row>
  </x:sheetData>
  <x:mergeCells>
    <x:mergeCell ref="A1:G1"/>
    <x:mergeCell ref="A2:G2"/>
    <x:mergeCell ref="A7:C7"/>
    <x:mergeCell ref="E7:G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4" hidden="0" customWidth="1"/>
    <x:col min="4" max="4" width="30" hidden="0" customWidth="1"/>
    <x:col min="5" max="5" width="26" hidden="0" customWidth="1"/>
    <x:col min="6" max="6" width="4" hidden="0" customWidth="1"/>
  </x:cols>
  <x:sheetData>
    <x:row r="1" ht="34" customHeight="1">
      <x:c r="A1" s="3" t="str">
        <x:v>Goal Planner</x:v>
      </x:c>
    </x:row>
    <x:row r="2" ht="28" customHeight="1">
      <x:c r="A2" s="7" t="str">
        <x:v>Set one goal and estimate the monthly amount required to reach it.</x:v>
      </x:c>
    </x:row>
    <x:row r="4" ht="24" customHeight="1">
      <x:c r="A4" s="44" t="str">
        <x:v>Your inputs</x:v>
      </x:c>
      <x:c r="B4" s="44" t="str">
        <x:v>Your inputs</x:v>
      </x:c>
      <x:c r="C4" s="44" t="str">
        <x:v>Your inputs</x:v>
      </x:c>
      <x:c r="D4" s="44" t="str">
        <x:v>Plan output</x:v>
      </x:c>
      <x:c r="E4" s="44" t="str">
        <x:v>Plan output</x:v>
      </x:c>
      <x:c r="F4" s="44" t="str">
        <x:v>Plan output</x:v>
      </x:c>
    </x:row>
    <x:row r="5">
      <x:c r="A5" t="str">
        <x:v>Goal name</x:v>
      </x:c>
      <x:c r="B5" s="67" t="str">
        <x:v>Example: Home deposit</x:v>
      </x:c>
      <x:c r="D5" t="str">
        <x:v>Inflation-adjusted target</x:v>
      </x:c>
      <x:c r="E5" s="83" t="n">
        <x:f>B6*(1+B10)^B8</x:f>
        <x:v>3759075.6474784017</x:v>
      </x:c>
    </x:row>
    <x:row r="6">
      <x:c r="A6" t="str">
        <x:v>Target amount (₹)</x:v>
      </x:c>
      <x:c r="B6" s="71" t="n">
        <x:v>2500000</x:v>
      </x:c>
      <x:c r="D6" t="str">
        <x:v>Future value of current savings</x:v>
      </x:c>
      <x:c r="E6" s="84" t="n">
        <x:f>B7*(1+B9)^B8</x:f>
        <x:v>514147.28063385625</x:v>
      </x:c>
    </x:row>
    <x:row r="7">
      <x:c r="A7" t="str">
        <x:v>Current savings (₹)</x:v>
      </x:c>
      <x:c r="B7" s="71" t="n">
        <x:v>300000</x:v>
      </x:c>
      <x:c r="D7" t="str">
        <x:v>Remaining amount at goal date</x:v>
      </x:c>
      <x:c r="E7" s="84" t="n">
        <x:f>MAX(0,E5-E6)</x:f>
        <x:v>3244928.3668445456</x:v>
      </x:c>
    </x:row>
    <x:row r="8">
      <x:c r="A8" t="str">
        <x:v>Years remaining</x:v>
      </x:c>
      <x:c r="B8" s="77" t="n">
        <x:v>7</x:v>
      </x:c>
      <x:c r="D8" t="str">
        <x:v>Required monthly saving</x:v>
      </x:c>
      <x:c r="E8" s="84" t="n">
        <x:f>MAX(0,IF(B9=0,E7/(B8*12),(E7*(B9/12))/((1+B9/12)^(B8*12)-1)))</x:f>
        <x:v>28943.293467980155</x:v>
      </x:c>
    </x:row>
    <x:row r="9">
      <x:c r="A9" t="str">
        <x:v>Expected annual return</x:v>
      </x:c>
      <x:c r="B9" s="78" t="n">
        <x:v>0.08</x:v>
      </x:c>
      <x:c r="D9" t="str">
        <x:v>Total new contributions</x:v>
      </x:c>
      <x:c r="E9" s="85" t="n">
        <x:f>E8*B8*12</x:f>
        <x:v>2431236.651310333</x:v>
      </x:c>
    </x:row>
    <x:row r="10">
      <x:c r="A10" t="str">
        <x:v>Annual inflation assumption</x:v>
      </x:c>
      <x:c r="B10" s="79" t="n">
        <x:v>0.06</x:v>
      </x:c>
      <x:c r="D10" t="str">
        <x:v>Planning note</x:v>
      </x:c>
      <x:c r="E10" s="86" t="str">
        <x:f>IF(E7=0,"Goal already funded","Review return and inflation assumptions yearly")</x:f>
        <x:v>Review return and inflation assumptions yearly</x:v>
      </x:c>
    </x:row>
    <x:row r="12" ht="42" customHeight="1">
      <x:c r="A12" s="90" t="str">
        <x:v>Reminder: Expected returns are assumptions, not guarantees. Use a lower return for conservative planning and verify tax implications separately.</x:v>
      </x:c>
    </x:row>
  </x:sheetData>
  <x:mergeCells>
    <x:mergeCell ref="A1:F1"/>
    <x:mergeCell ref="A2:F2"/>
    <x:mergeCell ref="A4:C4"/>
    <x:mergeCell ref="D4:F4"/>
    <x:mergeCell ref="A12:F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4" hidden="0" customWidth="1"/>
    <x:col min="4" max="4" width="28" hidden="0" customWidth="1"/>
    <x:col min="5" max="5" width="20" hidden="0" customWidth="1"/>
  </x:cols>
  <x:sheetData>
    <x:row r="1" ht="34" customHeight="1">
      <x:c r="A1" s="3" t="str">
        <x:v>Emergency Fund Planner</x:v>
      </x:c>
    </x:row>
    <x:row r="2" ht="28" customHeight="1">
      <x:c r="A2" s="7" t="str">
        <x:v>Build a target from essential monthly expenses and the coverage period you choose.</x:v>
      </x:c>
    </x:row>
    <x:row r="4" ht="24" customHeight="1">
      <x:c r="A4" s="44" t="str">
        <x:v>Essential monthly expenses</x:v>
      </x:c>
      <x:c r="B4" s="44" t="str">
        <x:v>Essential monthly expenses</x:v>
      </x:c>
      <x:c r="C4" s="44" t="str">
        <x:v>Essential monthly expenses</x:v>
      </x:c>
      <x:c r="D4" s="44" t="str">
        <x:v>Fund target</x:v>
      </x:c>
      <x:c r="E4" s="44" t="str">
        <x:v>Fund target</x:v>
      </x:c>
    </x:row>
    <x:row r="5">
      <x:c r="A5" t="str">
        <x:v>Housing</x:v>
      </x:c>
      <x:c r="B5" s="70" t="n">
        <x:v>20000</x:v>
      </x:c>
      <x:c r="D5" t="str">
        <x:v>Months of cover</x:v>
      </x:c>
      <x:c r="E5" s="33" t="n">
        <x:v>6</x:v>
      </x:c>
    </x:row>
    <x:row r="6">
      <x:c r="A6" t="str">
        <x:v>Utilities</x:v>
      </x:c>
      <x:c r="B6" s="71" t="n">
        <x:v>4000</x:v>
      </x:c>
      <x:c r="D6" t="str">
        <x:v>Recommended target</x:v>
      </x:c>
      <x:c r="E6" s="66" t="n">
        <x:f>B12*E5</x:f>
        <x:v>306000</x:v>
      </x:c>
    </x:row>
    <x:row r="7">
      <x:c r="A7" t="str">
        <x:v>Groceries</x:v>
      </x:c>
      <x:c r="B7" s="71" t="n">
        <x:v>8000</x:v>
      </x:c>
      <x:c r="D7" t="str">
        <x:v>Current emergency savings</x:v>
      </x:c>
      <x:c r="E7" s="91" t="n">
        <x:v>50000</x:v>
      </x:c>
    </x:row>
    <x:row r="8">
      <x:c r="A8" t="str">
        <x:v>Transport</x:v>
      </x:c>
      <x:c r="B8" s="71" t="n">
        <x:v>5000</x:v>
      </x:c>
      <x:c r="D8" t="str">
        <x:v>Funding gap</x:v>
      </x:c>
      <x:c r="E8" s="66" t="n">
        <x:f>MAX(0,E6-E7)</x:f>
        <x:v>256000</x:v>
      </x:c>
    </x:row>
    <x:row r="9">
      <x:c r="A9" t="str">
        <x:v>Healthcare and insurance</x:v>
      </x:c>
      <x:c r="B9" s="71" t="n">
        <x:v>5000</x:v>
      </x:c>
      <x:c r="D9" t="str">
        <x:v>Months to build fund</x:v>
      </x:c>
      <x:c r="E9" s="33" t="n">
        <x:v>12</x:v>
      </x:c>
    </x:row>
    <x:row r="10">
      <x:c r="A10" t="str">
        <x:v>Debt minimums</x:v>
      </x:c>
      <x:c r="B10" s="71" t="n">
        <x:v>6000</x:v>
      </x:c>
      <x:c r="D10" t="str">
        <x:v>Monthly saving required</x:v>
      </x:c>
      <x:c r="E10" s="66" t="n">
        <x:f>IF(E9&gt;0,E8/E9,0)</x:f>
        <x:v>21333.333333333332</x:v>
      </x:c>
    </x:row>
    <x:row r="11">
      <x:c r="A11" t="str">
        <x:v>Other essentials</x:v>
      </x:c>
      <x:c r="B11" s="72" t="n">
        <x:v>3000</x:v>
      </x:c>
    </x:row>
    <x:row r="12">
      <x:c r="A12" s="39" t="str">
        <x:v>Total essential expenses</x:v>
      </x:c>
      <x:c r="B12" s="41" t="n">
        <x:f>SUM(B5:B11)</x:f>
        <x:v>51000</x:v>
      </x:c>
    </x:row>
    <x:row r="14" ht="46" customHeight="1">
      <x:c r="A14" s="12" t="str">
        <x:v>Keep emergency savings accessible and separate from long-term investments. The right target depends on income stability, dependents, insurance, and health needs.</x:v>
      </x:c>
    </x:row>
  </x:sheetData>
  <x:mergeCells>
    <x:mergeCell ref="A1:E1"/>
    <x:mergeCell ref="A2:E2"/>
    <x:mergeCell ref="A4:C4"/>
    <x:mergeCell ref="D4:E4"/>
    <x:mergeCell ref="A14:E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0" hidden="0" customWidth="1"/>
    <x:col min="3" max="3" width="19" hidden="0" customWidth="1"/>
    <x:col min="4" max="4" width="42" hidden="0" customWidth="1"/>
  </x:cols>
  <x:sheetData>
    <x:row r="1" ht="34" customHeight="1">
      <x:c r="A1" s="3" t="str">
        <x:v>Annual Financial Review</x:v>
      </x:c>
    </x:row>
    <x:row r="2" ht="28" customHeight="1">
      <x:c r="A2" s="7" t="str">
        <x:v>Complete this checklist once a year and add a short note for your next action.</x:v>
      </x:c>
    </x:row>
    <x:row r="4" ht="24" customHeight="1">
      <x:c r="A4" s="19" t="str">
        <x:v>Area</x:v>
      </x:c>
      <x:c r="B4" s="30" t="str">
        <x:v>Review item</x:v>
      </x:c>
      <x:c r="C4" s="30" t="str">
        <x:v>Status</x:v>
      </x:c>
      <x:c r="D4" s="20" t="str">
        <x:v>Next action / notes</x:v>
      </x:c>
    </x:row>
    <x:row r="5" ht="34" customHeight="1">
      <x:c r="A5" s="22" t="str">
        <x:v>Cash flow</x:v>
      </x:c>
      <x:c r="B5" s="22" t="str">
        <x:v>Review three months of spending against the budget</x:v>
      </x:c>
      <x:c r="C5" s="92" t="str">
        <x:v>Not started</x:v>
      </x:c>
      <x:c r="D5" s="93" t="str"/>
    </x:row>
    <x:row r="6" ht="34" customHeight="1">
      <x:c r="A6" s="22" t="str">
        <x:v>Emergency fund</x:v>
      </x:c>
      <x:c r="B6" s="22" t="str">
        <x:v>Confirm the target still matches essential expenses</x:v>
      </x:c>
      <x:c r="C6" s="92" t="str">
        <x:v>Not started</x:v>
      </x:c>
      <x:c r="D6" s="93" t="str"/>
    </x:row>
    <x:row r="7" ht="34" customHeight="1">
      <x:c r="A7" s="22" t="str">
        <x:v>Debt</x:v>
      </x:c>
      <x:c r="B7" s="22" t="str">
        <x:v>Prioritise costly debt and review repayment progress</x:v>
      </x:c>
      <x:c r="C7" s="92" t="str">
        <x:v>Not started</x:v>
      </x:c>
      <x:c r="D7" s="93" t="str"/>
    </x:row>
    <x:row r="8" ht="34" customHeight="1">
      <x:c r="A8" s="22" t="str">
        <x:v>Insurance</x:v>
      </x:c>
      <x:c r="B8" s="22" t="str">
        <x:v>Review health, life, motor, and property coverage</x:v>
      </x:c>
      <x:c r="C8" s="92" t="str">
        <x:v>Not started</x:v>
      </x:c>
      <x:c r="D8" s="93" t="str"/>
    </x:row>
    <x:row r="9" ht="34" customHeight="1">
      <x:c r="A9" s="22" t="str">
        <x:v>Goals</x:v>
      </x:c>
      <x:c r="B9" s="22" t="str">
        <x:v>Update target amounts, deadlines, and monthly savings</x:v>
      </x:c>
      <x:c r="C9" s="92" t="str">
        <x:v>Not started</x:v>
      </x:c>
      <x:c r="D9" s="93" t="str"/>
    </x:row>
    <x:row r="10" ht="34" customHeight="1">
      <x:c r="A10" s="22" t="str">
        <x:v>Investments</x:v>
      </x:c>
      <x:c r="B10" s="22" t="str">
        <x:v>Check allocation against time horizon and risk capacity</x:v>
      </x:c>
      <x:c r="C10" s="92" t="str">
        <x:v>Not started</x:v>
      </x:c>
      <x:c r="D10" s="93" t="str"/>
    </x:row>
    <x:row r="11" ht="34" customHeight="1">
      <x:c r="A11" s="22" t="str">
        <x:v>Retirement</x:v>
      </x:c>
      <x:c r="B11" s="22" t="str">
        <x:v>Recalculate retirement contributions and projected corpus</x:v>
      </x:c>
      <x:c r="C11" s="92" t="str">
        <x:v>Not started</x:v>
      </x:c>
      <x:c r="D11" s="93" t="str"/>
    </x:row>
    <x:row r="12" ht="34" customHeight="1">
      <x:c r="A12" s="22" t="str">
        <x:v>Tax</x:v>
      </x:c>
      <x:c r="B12" s="22" t="str">
        <x:v>Organise records and verify current rules with official sources</x:v>
      </x:c>
      <x:c r="C12" s="92" t="str">
        <x:v>Not started</x:v>
      </x:c>
      <x:c r="D12" s="93" t="str"/>
    </x:row>
    <x:row r="13" ht="34" customHeight="1">
      <x:c r="A13" s="22" t="str">
        <x:v>Nominees</x:v>
      </x:c>
      <x:c r="B13" s="22" t="str">
        <x:v>Review nominees and important account details</x:v>
      </x:c>
      <x:c r="C13" s="92" t="str">
        <x:v>Not started</x:v>
      </x:c>
      <x:c r="D13" s="93" t="str"/>
    </x:row>
    <x:row r="14" ht="34" customHeight="1">
      <x:c r="A14" s="22" t="str">
        <x:v>Estate basics</x:v>
      </x:c>
      <x:c r="B14" s="22" t="str">
        <x:v>Review will, dependents, and emergency contacts</x:v>
      </x:c>
      <x:c r="C14" s="92" t="str">
        <x:v>Not started</x:v>
      </x:c>
      <x:c r="D14" s="93" t="str"/>
    </x:row>
    <x:row r="15" ht="34" customHeight="1">
      <x:c r="A15" s="22" t="str">
        <x:v>Security</x:v>
      </x:c>
      <x:c r="B15" s="22" t="str">
        <x:v>Change weak passwords and enable multi-factor authentication</x:v>
      </x:c>
      <x:c r="C15" s="92" t="str">
        <x:v>Not started</x:v>
      </x:c>
      <x:c r="D15" s="93" t="str"/>
    </x:row>
    <x:row r="16" ht="34" customHeight="1">
      <x:c r="A16" s="22" t="str">
        <x:v>Next year</x:v>
      </x:c>
      <x:c r="B16" s="22" t="str">
        <x:v>Choose the three most important financial actions</x:v>
      </x:c>
      <x:c r="C16" s="92" t="str">
        <x:v>Not started</x:v>
      </x:c>
      <x:c r="D16" s="93" t="str"/>
    </x:row>
    <x:row r="18">
      <x:c r="A18" t="str">
        <x:v>Review completion</x:v>
      </x:c>
      <x:c r="B18" s="94" t="n">
        <x:f>COUNTIF(C5:C16,"Complete")/COUNTA(C5:C16)</x:f>
        <x:v>0</x:v>
      </x:c>
    </x:row>
    <x:row r="19">
      <x:c r="A19" t="str">
        <x:v>Items complete</x:v>
      </x:c>
      <x:c r="B19" s="95" t="n">
        <x:f>COUNTIF(C5:C16,"Complete")</x:f>
        <x:v>0</x:v>
      </x:c>
    </x:row>
    <x:row r="20">
      <x:c r="A20" t="str">
        <x:v>Review status</x:v>
      </x:c>
      <x:c r="B20" s="42" t="str">
        <x:f>IF(B18=1,"Complete","Keep going")</x:f>
        <x:v>Keep going</x:v>
      </x:c>
    </x:row>
  </x:sheetData>
  <x:mergeCells>
    <x:mergeCell ref="A1:D1"/>
    <x:mergeCell ref="A2:D2"/>
  </x:mergeCells>
  <x:dataValidations count="1">
    <x:dataValidation type="list" sqref="C5:C16">
      <x:formula1>"Not started,In progress,Complete,Not applicable"</x:formula1>
    </x:dataValidation>
  </x:dataValidations>
  <x:pageMargins left="0.7" right="0.7" top="0.75" bottom="0.75" header="0.3" footer="0.3"/>
</x:worksheet>
</file>